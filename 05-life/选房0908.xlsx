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<sst xmlns="http://schemas.openxmlformats.org/spreadsheetml/2006/main" count="256" uniqueCount="256">
  <si>
    <t xml:space="preserve">  </t>
  </si>
  <si>
    <t xml:space="preserve">个人总结</t>
  </si>
  <si>
    <t xml:space="preserve">个人评分
1-有硬伤不考虑；2-中等偏下；3-中等；4-中等偏上；5-优秀</t>
  </si>
  <si>
    <t xml:space="preserve">小区名</t>
  </si>
  <si>
    <t xml:space="preserve">城区</t>
  </si>
  <si>
    <t xml:space="preserve">商圈</t>
  </si>
  <si>
    <t xml:space="preserve">小区均价</t>
  </si>
  <si>
    <t xml:space="preserve">地址</t>
  </si>
  <si>
    <t xml:space="preserve">经度</t>
  </si>
  <si>
    <t xml:space="preserve">纬度</t>
  </si>
  <si>
    <t xml:space="preserve">建筑类型</t>
  </si>
  <si>
    <t xml:space="preserve">权属类别</t>
  </si>
  <si>
    <t xml:space="preserve">竣工时间</t>
  </si>
  <si>
    <t xml:space="preserve">标签</t>
  </si>
  <si>
    <t xml:space="preserve">近地铁</t>
  </si>
  <si>
    <t xml:space="preserve">近学校</t>
  </si>
  <si>
    <t xml:space="preserve">有电梯</t>
  </si>
  <si>
    <t xml:space="preserve">在售套数</t>
  </si>
  <si>
    <t xml:space="preserve">在租套数</t>
  </si>
  <si>
    <t xml:space="preserve">绿化率</t>
  </si>
  <si>
    <t xml:space="preserve">总户数</t>
  </si>
  <si>
    <t xml:space="preserve">租售/总户</t>
  </si>
  <si>
    <t xml:space="preserve">供热</t>
  </si>
  <si>
    <t xml:space="preserve">电梯情况</t>
  </si>
  <si>
    <t xml:space="preserve">建筑品质评分</t>
  </si>
  <si>
    <t xml:space="preserve">小区环境评分</t>
  </si>
  <si>
    <t xml:space="preserve">商业配套评分</t>
  </si>
  <si>
    <t xml:space="preserve">教育质量评分</t>
  </si>
  <si>
    <t xml:space="preserve">小区人气评分</t>
  </si>
  <si>
    <t xml:space="preserve">用户评分评分</t>
  </si>
  <si>
    <t xml:space="preserve">交通便利评分</t>
  </si>
  <si>
    <t xml:space="preserve">地段交通评分</t>
  </si>
  <si>
    <t xml:space="preserve">生活配套评分</t>
  </si>
  <si>
    <t xml:space="preserve">居住品质评分</t>
  </si>
  <si>
    <t xml:space="preserve">小区环境标签</t>
  </si>
  <si>
    <t xml:space="preserve">商业配套标签</t>
  </si>
  <si>
    <t xml:space="preserve">教育质量标签</t>
  </si>
  <si>
    <t xml:space="preserve">小区人气标签</t>
  </si>
  <si>
    <t xml:space="preserve">用户评分标签</t>
  </si>
  <si>
    <t xml:space="preserve">交通便利标签</t>
  </si>
  <si>
    <t xml:space="preserve">优点：位置不远价格不贵，安静,400m有地铁
缺点：商业和学区配套一般，导致房价下跌
似乎环境还行，优缺点明显</t>
  </si>
  <si>
    <t xml:space="preserve">新东城阳光苑（3期）</t>
  </si>
  <si>
    <t xml:space="preserve">鄞州</t>
  </si>
  <si>
    <t xml:space="preserve">邱隘</t>
  </si>
  <si>
    <t xml:space="preserve">莫枝北路</t>
  </si>
  <si>
    <t xml:space="preserve">高层</t>
  </si>
  <si>
    <t xml:space="preserve">商品房住宅</t>
  </si>
  <si>
    <t xml:space="preserve">[内中环之间,次新小区]</t>
  </si>
  <si>
    <t xml:space="preserve">环境一般</t>
  </si>
  <si>
    <t xml:space="preserve">距商业配套较远</t>
  </si>
  <si>
    <t xml:space="preserve">附近教育配套尚不成熟</t>
  </si>
  <si>
    <t xml:space="preserve">小区人气不高</t>
  </si>
  <si>
    <t xml:space="preserve">用户对小区印象非常好</t>
  </si>
  <si>
    <t xml:space="preserve">距离7号线尚德站300m</t>
  </si>
  <si>
    <t xml:space="preserve">优点：有学区菜场，800m有地铁
缺点：距离稍远早高峰30min，户数少</t>
  </si>
  <si>
    <t xml:space="preserve">邻悦雅苑</t>
  </si>
  <si>
    <t xml:space="preserve">下应</t>
  </si>
  <si>
    <t xml:space="preserve">启明南路</t>
  </si>
  <si>
    <t xml:space="preserve">多层</t>
  </si>
  <si>
    <t xml:space="preserve">[4号线等,内中环之间,配套齐全]</t>
  </si>
  <si>
    <t xml:space="preserve">紧邻多种商业配套</t>
  </si>
  <si>
    <t xml:space="preserve">用户对小区印象很好</t>
  </si>
  <si>
    <t xml:space="preserve">距4号线金达南路步行729米</t>
  </si>
  <si>
    <t xml:space="preserve">优点：临江，周围配套还行
缺点：没地铁，通勤稍远，早高峰35min，房源稍老</t>
  </si>
  <si>
    <t xml:space="preserve">慧江苑</t>
  </si>
  <si>
    <t xml:space="preserve">长丰</t>
  </si>
  <si>
    <t xml:space="preserve">广德湖北路,近环城南路</t>
  </si>
  <si>
    <t xml:space="preserve">[内环以内,配套齐全]</t>
  </si>
  <si>
    <t xml:space="preserve">环境优美，生活有品质</t>
  </si>
  <si>
    <t xml:space="preserve">附近有市(区/省)重点小学</t>
  </si>
  <si>
    <t xml:space="preserve">全城排名前6%</t>
  </si>
  <si>
    <t xml:space="preserve">1500米内没有轨道交通</t>
  </si>
  <si>
    <t xml:space="preserve">优点：位置非常近，临河环境好
缺点：小区老2012年开盘，超市略远</t>
  </si>
  <si>
    <t xml:space="preserve">星河国际花园</t>
  </si>
  <si>
    <t xml:space="preserve">东部新城</t>
  </si>
  <si>
    <t xml:space="preserve">江澄北路765号</t>
  </si>
  <si>
    <t xml:space="preserve">[5号线等,内中环之间,配套齐全]</t>
  </si>
  <si>
    <t xml:space="preserve">3km内有多种商业配套</t>
  </si>
  <si>
    <t xml:space="preserve">全城排名前10%</t>
  </si>
  <si>
    <t xml:space="preserve">距5号线民安东路步行788米</t>
  </si>
  <si>
    <t xml:space="preserve">优点：新，临近植物园，周围配套还行
缺点：小区质量存疑问，距离稍远</t>
  </si>
  <si>
    <t xml:space="preserve">龙光久桦府</t>
  </si>
  <si>
    <t xml:space="preserve">镇海</t>
  </si>
  <si>
    <t xml:space="preserve">骆驼</t>
  </si>
  <si>
    <t xml:space="preserve">望海南路,近永茂东路</t>
  </si>
  <si>
    <t xml:space="preserve">小高层|高层</t>
  </si>
  <si>
    <t xml:space="preserve">[中外环之间,次新小区]</t>
  </si>
  <si>
    <t xml:space="preserve">优点：交通方便地铁上盖，生活，教育配套全
缺点：地铁可能有噪音</t>
  </si>
  <si>
    <t xml:space="preserve">咏柳苑（杨柳郡二期）</t>
  </si>
  <si>
    <t xml:space="preserve">东环南路519号</t>
  </si>
  <si>
    <t xml:space="preserve">[1号线等,中外环之间]</t>
  </si>
  <si>
    <t xml:space="preserve">5km内有多种商业配套</t>
  </si>
  <si>
    <t xml:space="preserve">距1号线邱隘步行116米</t>
  </si>
  <si>
    <t xml:space="preserve">鸣柳苑（杨柳郡三期）</t>
  </si>
  <si>
    <t xml:space="preserve">优点：有配套
缺点：有点偏，没地铁</t>
  </si>
  <si>
    <t xml:space="preserve">吾悦广场二期/三期</t>
  </si>
  <si>
    <t xml:space="preserve">永茂西路,近望海南路</t>
  </si>
  <si>
    <t xml:space="preserve">[中外环之间,次新小区,配套齐全]</t>
  </si>
  <si>
    <t xml:space="preserve">全城排名前12%</t>
  </si>
  <si>
    <t xml:space="preserve">优点：临河边公园，生活配套不错
缺点：距离较远，早高峰40min</t>
  </si>
  <si>
    <t xml:space="preserve">中梁首府</t>
  </si>
  <si>
    <t xml:space="preserve">三五路699号</t>
  </si>
  <si>
    <t xml:space="preserve">低层|高层</t>
  </si>
  <si>
    <t xml:space="preserve">[中外环之间,配套齐全]</t>
  </si>
  <si>
    <t xml:space="preserve">用户对小区印象较好</t>
  </si>
  <si>
    <t xml:space="preserve">优点：位置好，交通便利地铁上盖，配套好
缺点：临近高架，噪音隔音问题，房子质量，</t>
  </si>
  <si>
    <t xml:space="preserve">颐璟园三期</t>
  </si>
  <si>
    <t xml:space="preserve">潘火</t>
  </si>
  <si>
    <t xml:space="preserve">潘火路717号</t>
  </si>
  <si>
    <t xml:space="preserve">小高层|高层|超高层</t>
  </si>
  <si>
    <t xml:space="preserve">距5号线曹隘步行335米</t>
  </si>
  <si>
    <t xml:space="preserve">优点：生活学区配套，性价比高
缺点：位置稍偏，没地铁</t>
  </si>
  <si>
    <t xml:space="preserve">云堇台</t>
  </si>
  <si>
    <t xml:space="preserve">鄞县大道,近启明南路</t>
  </si>
  <si>
    <t xml:space="preserve">[5号线等,内中环之间,次新小区,配套齐全]</t>
  </si>
  <si>
    <t xml:space="preserve">距5号线大洋江步行1159米</t>
  </si>
  <si>
    <t xml:space="preserve">优点：生活学区配套，性价比高
缺点：位置稍偏</t>
  </si>
  <si>
    <t xml:space="preserve">桂语里</t>
  </si>
  <si>
    <t xml:space="preserve">鄞县大道</t>
  </si>
  <si>
    <t xml:space="preserve">小高层|超高层</t>
  </si>
  <si>
    <t xml:space="preserve">距4号线金达南路步行789米</t>
  </si>
  <si>
    <t xml:space="preserve">优点：新，位置可以
缺点：周围配套稍差，没地铁</t>
  </si>
  <si>
    <t xml:space="preserve">映月江南府</t>
  </si>
  <si>
    <t xml:space="preserve">福庆南路</t>
  </si>
  <si>
    <t xml:space="preserve">[5号线,内中环之间,次新小区]</t>
  </si>
  <si>
    <t xml:space="preserve">距5号线曹隘步行1487米</t>
  </si>
  <si>
    <t xml:space="preserve">优点：新，周围生活配套好
缺点：距离稍远，隔音差</t>
  </si>
  <si>
    <t xml:space="preserve">万科蔚蓝城市花园</t>
  </si>
  <si>
    <t xml:space="preserve">庄市</t>
  </si>
  <si>
    <t xml:space="preserve">聚兴路</t>
  </si>
  <si>
    <t xml:space="preserve">小高层</t>
  </si>
  <si>
    <t xml:space="preserve">[5号线,内中环之间,户型丰富,次新小区,配套齐全]</t>
  </si>
  <si>
    <t xml:space="preserve">全城排名前1%</t>
  </si>
  <si>
    <t xml:space="preserve">距5号线兴庄路步行1217米</t>
  </si>
  <si>
    <t xml:space="preserve">优点：交通方便，性价比高。
缺点：临近高架噪音，装修标准低，需要重新装，房子品质存疑问。学校和生活欠缺。</t>
  </si>
  <si>
    <t xml:space="preserve">鸣翠东著</t>
  </si>
  <si>
    <t xml:space="preserve">东柳</t>
  </si>
  <si>
    <t xml:space="preserve">桑田南路与环城南路交叉口</t>
  </si>
  <si>
    <t xml:space="preserve">[多轨交,轨交房,车位充足,全景飘窗,大阳台,双卫生间,主卧套房,装修交付,大户型,厨卫全明,南北通透,热聊盘]</t>
  </si>
  <si>
    <t xml:space="preserve">优点：临江，位置较好，通勤方便。
缺点：距离地铁1.2km, 学区稍差稍远</t>
  </si>
  <si>
    <t xml:space="preserve">招商雍景湾</t>
  </si>
  <si>
    <t xml:space="preserve">高新区</t>
  </si>
  <si>
    <t xml:space="preserve">智慧园</t>
  </si>
  <si>
    <t xml:space="preserve">甬江大道,近创芫路</t>
  </si>
  <si>
    <t xml:space="preserve">距5号线盎孟港步行957米</t>
  </si>
  <si>
    <t xml:space="preserve">瀚宁府</t>
  </si>
  <si>
    <t xml:space="preserve">逸夫路619号</t>
  </si>
  <si>
    <t xml:space="preserve">多层|高层</t>
  </si>
  <si>
    <t xml:space="preserve">[2号线,内中环之间,配套齐全]</t>
  </si>
  <si>
    <t xml:space="preserve">距2号线宁波大学步行1429米</t>
  </si>
  <si>
    <t xml:space="preserve">优点：位置靠近市区，交通方便
缺点：户型小95平三房，安置房</t>
  </si>
  <si>
    <t xml:space="preserve">徐戎佳苑</t>
  </si>
  <si>
    <t xml:space="preserve">明楼</t>
  </si>
  <si>
    <t xml:space="preserve">曙光北路95号</t>
  </si>
  <si>
    <t xml:space="preserve">商品房住宅|动迁配套房</t>
  </si>
  <si>
    <t xml:space="preserve">[内环以内,小户型居多,次新小区]</t>
  </si>
  <si>
    <t xml:space="preserve">优点：位置较好，学区生活配套好
缺点：地铁稍远，楼盘稍老</t>
  </si>
  <si>
    <t xml:space="preserve">万科公园里(二期)</t>
  </si>
  <si>
    <t xml:space="preserve">港隆时代广场</t>
  </si>
  <si>
    <t xml:space="preserve">清水桥路366号</t>
  </si>
  <si>
    <t xml:space="preserve">[5号线,内中环之间,配套齐全]</t>
  </si>
  <si>
    <t xml:space="preserve">附近有小学</t>
  </si>
  <si>
    <t xml:space="preserve">距5号线院士路步行1106米</t>
  </si>
  <si>
    <t xml:space="preserve">优点：新小区，江景环境好
缺点：周围配套有待开发，房屋质量有隐患，车库无法交付</t>
  </si>
  <si>
    <t xml:space="preserve">宝龙文创甬江城</t>
  </si>
  <si>
    <t xml:space="preserve">中兴大桥与大庆北路交汇处</t>
  </si>
  <si>
    <t xml:space="preserve">[多轨交,轨交房,车位充足,全景飘窗,大阳台,双卫生间,主卧套房,装修交付,三房朝南,卧室全朝南,大户型,厨卫全明,南北通透]</t>
  </si>
  <si>
    <t xml:space="preserve">优点：位置离上班近，性价比高
缺点：毫无生活配套</t>
  </si>
  <si>
    <t xml:space="preserve">万科东晟府</t>
  </si>
  <si>
    <t xml:space="preserve">软件研发园</t>
  </si>
  <si>
    <t xml:space="preserve">院士路</t>
  </si>
  <si>
    <t xml:space="preserve">高层|超高层</t>
  </si>
  <si>
    <t xml:space="preserve">[5号线,内中环之间]</t>
  </si>
  <si>
    <t xml:space="preserve">距5号线会展中心步行1341米</t>
  </si>
  <si>
    <t xml:space="preserve">优点：位置较好
缺点：周围施工开发，小区小，地铁稍远</t>
  </si>
  <si>
    <t xml:space="preserve">兴宁府</t>
  </si>
  <si>
    <t xml:space="preserve">兴宁街,近长海路</t>
  </si>
  <si>
    <t xml:space="preserve">[4号线等,内环以内,大户型居多,次新小区,配套齐全]</t>
  </si>
  <si>
    <t xml:space="preserve">距4号线矮柳步行638米</t>
  </si>
  <si>
    <t xml:space="preserve">优点：位置较好，生活和学区好
缺点：靠近铁路北面有噪音，房龄稍老</t>
  </si>
  <si>
    <t xml:space="preserve">荣安心尚园</t>
  </si>
  <si>
    <t xml:space="preserve">永达路</t>
  </si>
  <si>
    <t xml:space="preserve">[4号线等,内环以内,配套齐全]</t>
  </si>
  <si>
    <t xml:space="preserve">距4号线矮柳步行673米</t>
  </si>
  <si>
    <t xml:space="preserve">优点：新小区，通勤还可以
缺点：小区品质，地铁没有很方便，学区稍差</t>
  </si>
  <si>
    <t xml:space="preserve">春月云锦</t>
  </si>
  <si>
    <t xml:space="preserve">梅墟</t>
  </si>
  <si>
    <t xml:space="preserve">枫香路</t>
  </si>
  <si>
    <t xml:space="preserve">万科城蓝色东方</t>
  </si>
  <si>
    <t xml:space="preserve">清泉路68号</t>
  </si>
  <si>
    <t xml:space="preserve">距5号线兴庄路步行929米</t>
  </si>
  <si>
    <t xml:space="preserve">优点：交通方便，配套齐全
缺点：稍微老一点</t>
  </si>
  <si>
    <t xml:space="preserve">万科都心里</t>
  </si>
  <si>
    <t xml:space="preserve">中河</t>
  </si>
  <si>
    <t xml:space="preserve">凤起路64号</t>
  </si>
  <si>
    <t xml:space="preserve">全城排名前2%</t>
  </si>
  <si>
    <t xml:space="preserve">距4号线嵩江东路步行324米</t>
  </si>
  <si>
    <t xml:space="preserve">优点：上班位置近，交通方便，生活气息好，有教育配套
缺点：户型偏大，价格稍贵</t>
  </si>
  <si>
    <t xml:space="preserve">金隅大成郡(一期)</t>
  </si>
  <si>
    <t xml:space="preserve">新明</t>
  </si>
  <si>
    <t xml:space="preserve">腊梅路,近翔云路</t>
  </si>
  <si>
    <t xml:space="preserve">[5号线等,内中环之间,大户型居多,次新小区,配套齐全]</t>
  </si>
  <si>
    <t xml:space="preserve">距5号线盎孟港步行150米</t>
  </si>
  <si>
    <t xml:space="preserve">优点：上班位置近，生活教育配套
缺点：生活气息稍淡</t>
  </si>
  <si>
    <t xml:space="preserve">金隅大成郡(二期)</t>
  </si>
  <si>
    <t xml:space="preserve">丹桂路,近瑞昌路</t>
  </si>
  <si>
    <t xml:space="preserve">距5号线院士路步行971米</t>
  </si>
  <si>
    <t xml:space="preserve">优点：交通方便，配套齐全，性价比较高
缺点：房子质量问题，曾经换过开发商。</t>
  </si>
  <si>
    <t xml:space="preserve">鸣翠东著里</t>
  </si>
  <si>
    <t xml:space="preserve">桑田南路</t>
  </si>
  <si>
    <t xml:space="preserve">[内环以内,次新小区]</t>
  </si>
  <si>
    <t xml:space="preserve">金隅大成郡(三期)</t>
  </si>
  <si>
    <t xml:space="preserve">优点：地铁上盖
缺点：生活气息不浓，可能有噪音</t>
  </si>
  <si>
    <t xml:space="preserve">未来道</t>
  </si>
  <si>
    <t xml:space="preserve">中兴路,近永达路</t>
  </si>
  <si>
    <t xml:space="preserve">[3号线等,内环以内,次新小区,配套齐全]</t>
  </si>
  <si>
    <t xml:space="preserve">距3号线仇毕步行10米</t>
  </si>
  <si>
    <t xml:space="preserve">优点：周围生活配套比较好，教育配套
缺点：精装交付，交通不便，没有靠近的地铁，通勤35min</t>
  </si>
  <si>
    <t xml:space="preserve">雅戈尔嵩江府</t>
  </si>
  <si>
    <t xml:space="preserve">嵩江西路88号</t>
  </si>
  <si>
    <t xml:space="preserve">[3号线,内中环之间,次新小区,配套齐全]</t>
  </si>
  <si>
    <t xml:space="preserve">优点：环境好，生活教育配套，112平毛坯，交通方便
缺点：地铁最近在施工。小区稍老。</t>
  </si>
  <si>
    <t xml:space="preserve">宏泰风花树</t>
  </si>
  <si>
    <t xml:space="preserve">邱隘大道</t>
  </si>
  <si>
    <t xml:space="preserve">[1号线等,内中环之间,配套齐全]</t>
  </si>
  <si>
    <t xml:space="preserve">距1号线盛莫路步行912米</t>
  </si>
  <si>
    <t xml:space="preserve">弘阳新希望长粼府</t>
  </si>
  <si>
    <t xml:space="preserve">长丰一路</t>
  </si>
  <si>
    <t xml:space="preserve">[内环以内,次新小区,配套齐全]</t>
  </si>
  <si>
    <t xml:space="preserve">优点：位置较好，交通方便，学区生活配套好
缺点：楼盘稍老，精装可能超预算</t>
  </si>
  <si>
    <t xml:space="preserve">德信东宸</t>
  </si>
  <si>
    <t xml:space="preserve">福明路,近明珠路</t>
  </si>
  <si>
    <t xml:space="preserve">[3号线等,内中环之间,配套齐全]</t>
  </si>
  <si>
    <t xml:space="preserve">距3号线明楼步行1016米</t>
  </si>
  <si>
    <t xml:space="preserve">优点：上班方便，风景好，学区生活方便
缺点：地铁稍远</t>
  </si>
  <si>
    <t xml:space="preserve">上湖城章(二期)</t>
  </si>
  <si>
    <t xml:space="preserve">盛莫北路</t>
  </si>
  <si>
    <t xml:space="preserve">优点：生活方便
缺点：学区远，小区体量小，精装可能超预算</t>
  </si>
  <si>
    <t xml:space="preserve">金地华著</t>
  </si>
  <si>
    <t xml:space="preserve">福明</t>
  </si>
  <si>
    <t xml:space="preserve">姚隘路674号</t>
  </si>
  <si>
    <t xml:space="preserve">距3号线体育馆步行548米</t>
  </si>
  <si>
    <t xml:space="preserve">碧桂园有舍</t>
  </si>
  <si>
    <t xml:space="preserve">庄市大道1290号</t>
  </si>
  <si>
    <t xml:space="preserve">距5号线兴庄路步行1206米</t>
  </si>
  <si>
    <t xml:space="preserve">优点：周围生活配套比较好，教育配套，交通方便
缺点：小区体量小，出租率高，略贵</t>
  </si>
  <si>
    <t xml:space="preserve">泛迪中心</t>
  </si>
  <si>
    <t xml:space="preserve">兴宁路,近彩虹南路</t>
  </si>
  <si>
    <t xml:space="preserve">[4号线等,内环以内,次新小区,配套齐全]</t>
  </si>
  <si>
    <t xml:space="preserve">用户对小区印象一般</t>
  </si>
  <si>
    <t xml:space="preserve">距4号线兴宁桥东步行467米</t>
  </si>
  <si>
    <t xml:space="preserve">优点：学区好，新，靠近地铁
缺点：物业停车费等稍贵，房屋质量稍差，需要边套</t>
  </si>
  <si>
    <t xml:space="preserve">绿城春来晓园</t>
  </si>
  <si>
    <t xml:space="preserve">海晏南路</t>
  </si>
  <si>
    <t xml:space="preserve">[5号线,内中环之间,次新小区,配套齐全]</t>
  </si>
  <si>
    <t xml:space="preserve">距5号线曹隘步行377米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</si>
</sst>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-mmm"/>
    <numFmt numFmtId="165" formatCode="0.00%"/>
    <numFmt numFmtId="166" formatCode="yyyy/m/d"/>
  </numFmts>
  <fonts count="6">
    <font>
      <sz val="11"/>
      <color theme="1"/>
      <name val="Calibri"/>
      <family val="2"/>
      <scheme val="minor"/>
    </font>
    <font>
      <sz val="11"/>
      <color rgb="FF000000"/>
      <name val="等线"/>
      <family val="2"/>
    </font>
    <font>
      <sz val="11"/>
      <color rgb="FF000000"/>
      <name val="等线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FF"/>
        <bgColor/>
      </patternFill>
    </fill>
    <fill>
      <patternFill patternType="solid">
        <fgColor rgb="FFF76964"/>
        <bgColor/>
      </patternFill>
    </fill>
    <fill>
      <patternFill patternType="solid">
        <fgColor rgb="FFF54A45"/>
        <bgColor/>
      </patternFill>
    </fill>
    <fill>
      <patternFill patternType="solid">
        <fgColor rgb="FFF7696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 wrapText="true"/>
    </xf>
    <xf applyAlignment="true" applyBorder="false" applyFill="true" applyFont="true" applyNumberFormat="false" applyProtection="false" borderId="0" fillId="2" fontId="1" numFmtId="0" xfId="0">
      <alignment vertical="center"/>
    </xf>
    <xf applyAlignment="true" applyBorder="false" applyFill="false" applyFont="true" applyNumberFormat="true" applyProtection="false" borderId="0" fillId="0" fontId="1" numFmtId="164" xfId="0">
      <alignment vertical="center"/>
    </xf>
    <xf applyAlignment="true" applyBorder="false" applyFill="false" applyFont="true" applyNumberFormat="true" applyProtection="false" borderId="0" fillId="0" fontId="3" numFmtId="165" xfId="0">
      <alignment vertical="center"/>
    </xf>
    <xf applyAlignment="true" applyBorder="false" applyFill="true" applyFont="true" applyNumberFormat="false" applyProtection="false" borderId="0" fillId="3" fontId="1" numFmtId="0" xfId="0">
      <alignment vertical="center"/>
    </xf>
    <xf applyAlignment="true" applyBorder="false" applyFill="true" applyFont="true" applyNumberFormat="false" applyProtection="false" borderId="0" fillId="3" fontId="1" numFmtId="0" xfId="0">
      <alignment vertical="center"/>
    </xf>
    <xf applyAlignment="true" applyBorder="false" applyFill="true" applyFont="true" applyNumberFormat="true" applyProtection="false" borderId="0" fillId="3" fontId="3" numFmtId="165" xfId="0">
      <alignment vertical="center"/>
    </xf>
    <xf applyAlignment="true" applyBorder="false" applyFill="true" applyFont="true" applyNumberFormat="false" applyProtection="false" borderId="0" fillId="4" fontId="1" numFmtId="0" xfId="0">
      <alignment vertical="center"/>
    </xf>
    <xf applyAlignment="true" applyBorder="false" applyFill="false" applyFont="true" applyNumberFormat="true" applyProtection="false" borderId="0" fillId="0" fontId="1" numFmtId="166" xfId="0">
      <alignment vertical="center"/>
    </xf>
    <xf applyAlignment="true" applyBorder="false" applyFill="false" applyFont="true" applyNumberFormat="true" applyProtection="false" borderId="0" fillId="0" fontId="1" numFmtId="164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5" fontId="2" numFmtId="0" xfId="0">
      <alignment vertical="center"/>
    </xf>
    <xf applyAlignment="true" applyBorder="false" applyFill="true" applyFont="true" applyNumberFormat="true" applyProtection="false" borderId="0" fillId="5" fontId="4" numFmtId="165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RowHeight="0"/>
  <cols>
    <col collapsed="false" customWidth="true" hidden="false" max="1" min="1" style="0" width="27"/>
    <col collapsed="false" customWidth="true" hidden="false" max="5" min="5" style="0" width="9.933333333333334"/>
    <col collapsed="false" customWidth="true" hidden="false" max="14" min="14" style="0" width="5.8"/>
    <col collapsed="false" customWidth="true" hidden="false" max="18" min="18" style="0" width="6.472506738544447"/>
    <col collapsed="false" customWidth="true" hidden="false" max="22" min="22" style="0" width="6.472506738544447"/>
    <col collapsed="false" customWidth="true" hidden="false" max="26" min="26" style="0" width="6.472506738544447"/>
    <col collapsed="false" customWidth="true" hidden="false" max="30" min="30" style="0" width="6.472506738544447"/>
    <col collapsed="false" customWidth="true" hidden="false" max="2" min="2" style="0" width="18.733333333333334"/>
    <col collapsed="false" customWidth="true" hidden="false" max="6" min="6" style="0" width="9.933333333333334"/>
    <col collapsed="false" customWidth="true" hidden="false" max="15" min="15" style="0" width="6.472506738544447"/>
    <col collapsed="false" customWidth="true" hidden="false" max="19" min="19" style="0" width="6.472506738544447"/>
    <col collapsed="false" customWidth="true" hidden="false" max="23" min="23" style="0" width="6.472506738544447"/>
    <col collapsed="false" customWidth="true" hidden="false" max="27" min="27" style="0" width="6.472506738544447"/>
    <col collapsed="false" customWidth="true" hidden="false" max="31" min="31" style="0" width="6.472506738544447"/>
    <col collapsed="false" customWidth="true" hidden="false" max="3" min="3" style="0" width="16.333333333333332"/>
    <col collapsed="false" customWidth="true" hidden="false" max="16" min="16" style="0" width="6.472506738544447"/>
    <col collapsed="false" customWidth="true" hidden="false" max="20" min="20" style="0" width="6.472506738544447"/>
    <col collapsed="false" customWidth="true" hidden="false" max="24" min="24" style="0" width="6.472506738544447"/>
    <col collapsed="false" customWidth="true" hidden="false" max="28" min="28" style="0" width="6.472506738544447"/>
    <col collapsed="false" customWidth="true" hidden="false" max="32" min="32" style="0" width="6.472506738544447"/>
    <col collapsed="false" customWidth="true" hidden="false" max="4" min="4" style="0" width="9.933333333333334"/>
    <col collapsed="false" customWidth="true" hidden="false" max="12" min="12" style="0" width="10.2"/>
    <col collapsed="false" customWidth="true" hidden="false" max="13" min="13" style="0" width="21.80584007187781"/>
    <col collapsed="false" customWidth="true" hidden="false" max="17" min="17" style="0" width="6.472506738544447"/>
    <col collapsed="false" customWidth="true" hidden="false" max="21" min="21" style="0" width="7.408355795148387"/>
    <col collapsed="false" customWidth="true" hidden="false" max="25" min="25" style="0" width="6.472506738544447"/>
    <col collapsed="false" customWidth="true" hidden="false" max="29" min="29" style="0" width="6.472506738544447"/>
    <col collapsed="false" customWidth="true" hidden="false" max="33" min="33" style="0" width="6.472506738544447"/>
  </cols>
  <sheetData>
    <row customHeight="true" ht="63.7037037037037" r="1">
      <c r="A1" s="1" t="s">
        <v>1</v>
      </c>
      <c r="B1" s="1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4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</row>
    <row customHeight="true" hidden="true" ht="63.7037037037037" r="2">
      <c r="A2" s="5" t="s">
        <v>40</v>
      </c>
      <c r="B2" s="6">
        <v>2.5</v>
      </c>
      <c r="C2" s="6" t="s">
        <v>41</v>
      </c>
      <c r="D2" s="2" t="s">
        <v>42</v>
      </c>
      <c r="E2" s="2" t="s">
        <v>43</v>
      </c>
      <c r="F2" s="3">
        <v>17271</v>
      </c>
      <c r="G2" s="2" t="s">
        <v>44</v>
      </c>
      <c r="H2" s="2">
        <v>121.634196</v>
      </c>
      <c r="I2" s="2">
        <v>29.836459</v>
      </c>
      <c r="J2" s="2" t="s">
        <v>45</v>
      </c>
      <c r="K2" s="2" t="s">
        <v>46</v>
      </c>
      <c r="L2" s="7">
        <v>46104</v>
      </c>
      <c r="M2" s="2" t="s">
        <v>47</v>
      </c>
      <c r="N2" s="2">
        <v>1</v>
      </c>
      <c r="O2" s="2">
        <v>0</v>
      </c>
      <c r="P2" s="2">
        <v>0</v>
      </c>
      <c r="Q2" s="2">
        <v>60</v>
      </c>
      <c r="R2" s="2">
        <v>66</v>
      </c>
      <c r="T2" s="2">
        <v>1562</v>
      </c>
      <c r="U2" s="8">
        <f t="shared" ref="U2:U41" si="0">(Q2+R2)/T2</f>
      </c>
      <c r="W2" s="2">
        <v>0</v>
      </c>
      <c r="X2" s="2">
        <v>9.5</v>
      </c>
      <c r="Y2" s="2">
        <v>5</v>
      </c>
      <c r="Z2" s="2">
        <v>5</v>
      </c>
      <c r="AA2" s="2">
        <v>5</v>
      </c>
      <c r="AB2" s="2">
        <v>5</v>
      </c>
      <c r="AC2" s="2">
        <v>10</v>
      </c>
      <c r="AD2" s="2">
        <v>5</v>
      </c>
      <c r="AE2" s="2">
        <v>8.4</v>
      </c>
      <c r="AF2" s="2">
        <v>7.2</v>
      </c>
      <c r="AG2" s="2">
        <v>6</v>
      </c>
      <c r="AH2" s="9" t="s">
        <v>48</v>
      </c>
      <c r="AI2" s="9" t="s">
        <v>49</v>
      </c>
      <c r="AJ2" s="2" t="s">
        <v>50</v>
      </c>
      <c r="AK2" s="2" t="s">
        <v>51</v>
      </c>
      <c r="AL2" s="2" t="s">
        <v>52</v>
      </c>
      <c r="AM2" s="6" t="s">
        <v>53</v>
      </c>
    </row>
    <row customHeight="true" hidden="true" ht="63.7037037037037" r="3">
      <c r="A3" s="1" t="s">
        <v>54</v>
      </c>
      <c r="B3" s="4">
        <v>3</v>
      </c>
      <c r="C3" s="2" t="s">
        <v>55</v>
      </c>
      <c r="D3" s="2" t="s">
        <v>42</v>
      </c>
      <c r="E3" s="2" t="s">
        <v>56</v>
      </c>
      <c r="F3" s="3">
        <v>17376</v>
      </c>
      <c r="G3" s="2" t="s">
        <v>57</v>
      </c>
      <c r="H3" s="2">
        <v>121.604922</v>
      </c>
      <c r="I3" s="2">
        <v>29.806077</v>
      </c>
      <c r="J3" s="2" t="s">
        <v>58</v>
      </c>
      <c r="K3" s="2" t="s">
        <v>46</v>
      </c>
      <c r="L3" s="9">
        <v>2019</v>
      </c>
      <c r="M3" s="2" t="s">
        <v>59</v>
      </c>
      <c r="N3" s="2">
        <v>1</v>
      </c>
      <c r="O3" s="2">
        <v>0</v>
      </c>
      <c r="P3" s="2">
        <v>0</v>
      </c>
      <c r="Q3" s="2">
        <v>13</v>
      </c>
      <c r="R3" s="2">
        <v>11</v>
      </c>
      <c r="S3" s="2">
        <v>30</v>
      </c>
      <c r="T3" s="2">
        <v>280</v>
      </c>
      <c r="U3" s="8">
        <f t="shared" si="0"/>
      </c>
      <c r="W3" s="2">
        <v>1</v>
      </c>
      <c r="X3" s="2">
        <v>9.5</v>
      </c>
      <c r="Y3" s="2">
        <v>6</v>
      </c>
      <c r="Z3" s="2">
        <v>9</v>
      </c>
      <c r="AA3" s="2">
        <v>5</v>
      </c>
      <c r="AB3" s="2">
        <v>5</v>
      </c>
      <c r="AC3" s="2">
        <v>7.8</v>
      </c>
      <c r="AD3" s="2">
        <v>8</v>
      </c>
      <c r="AE3" s="2">
        <v>8.6</v>
      </c>
      <c r="AF3" s="2">
        <v>7.6</v>
      </c>
      <c r="AG3" s="2">
        <v>6</v>
      </c>
      <c r="AH3" s="9" t="s">
        <v>48</v>
      </c>
      <c r="AI3" s="2" t="s">
        <v>60</v>
      </c>
      <c r="AJ3" s="2" t="s">
        <v>50</v>
      </c>
      <c r="AK3" s="2" t="s">
        <v>51</v>
      </c>
      <c r="AL3" s="2" t="s">
        <v>61</v>
      </c>
      <c r="AM3" s="2" t="s">
        <v>62</v>
      </c>
    </row>
    <row customHeight="true" hidden="true" ht="63.7037037037037" r="4">
      <c r="A4" s="1" t="s">
        <v>63</v>
      </c>
      <c r="B4" s="4">
        <v>3</v>
      </c>
      <c r="C4" s="2" t="s">
        <v>64</v>
      </c>
      <c r="D4" s="2" t="s">
        <v>42</v>
      </c>
      <c r="E4" s="2" t="s">
        <v>65</v>
      </c>
      <c r="F4" s="3">
        <v>17569</v>
      </c>
      <c r="G4" s="2" t="s">
        <v>66</v>
      </c>
      <c r="H4" s="2">
        <v>121.543781</v>
      </c>
      <c r="I4" s="2">
        <v>29.847673</v>
      </c>
      <c r="J4" s="2" t="s">
        <v>45</v>
      </c>
      <c r="K4" s="2" t="s">
        <v>46</v>
      </c>
      <c r="L4" s="9">
        <v>2018</v>
      </c>
      <c r="M4" s="2" t="s">
        <v>67</v>
      </c>
      <c r="N4" s="2">
        <v>0</v>
      </c>
      <c r="O4" s="2">
        <v>0</v>
      </c>
      <c r="P4" s="2">
        <v>1</v>
      </c>
      <c r="Q4" s="2">
        <v>11</v>
      </c>
      <c r="R4" s="2">
        <v>82</v>
      </c>
      <c r="S4" s="2">
        <v>25</v>
      </c>
      <c r="T4" s="2">
        <v>1422</v>
      </c>
      <c r="U4" s="8">
        <f t="shared" si="0"/>
      </c>
      <c r="V4" s="2">
        <v>2</v>
      </c>
      <c r="W4" s="2">
        <v>1</v>
      </c>
      <c r="X4" s="2">
        <v>9.5</v>
      </c>
      <c r="Y4" s="2">
        <v>7</v>
      </c>
      <c r="Z4" s="2">
        <v>9</v>
      </c>
      <c r="AA4" s="2">
        <v>7</v>
      </c>
      <c r="AB4" s="2">
        <v>8.5</v>
      </c>
      <c r="AC4" s="2">
        <v>7.6</v>
      </c>
      <c r="AD4" s="2">
        <v>5</v>
      </c>
      <c r="AE4" s="2">
        <v>8</v>
      </c>
      <c r="AF4" s="2">
        <v>8.4</v>
      </c>
      <c r="AG4" s="2">
        <v>6</v>
      </c>
      <c r="AH4" s="2" t="s">
        <v>68</v>
      </c>
      <c r="AI4" s="2" t="s">
        <v>60</v>
      </c>
      <c r="AJ4" s="2" t="s">
        <v>69</v>
      </c>
      <c r="AK4" s="2" t="s">
        <v>70</v>
      </c>
      <c r="AL4" s="2" t="s">
        <v>61</v>
      </c>
      <c r="AM4" s="9" t="s">
        <v>71</v>
      </c>
    </row>
    <row customHeight="true" hidden="true" ht="63.7037037037037" r="5">
      <c r="A5" s="1" t="s">
        <v>72</v>
      </c>
      <c r="B5" s="4">
        <v>3</v>
      </c>
      <c r="C5" s="2" t="s">
        <v>73</v>
      </c>
      <c r="D5" s="2" t="s">
        <v>42</v>
      </c>
      <c r="E5" s="2" t="s">
        <v>74</v>
      </c>
      <c r="F5" s="3">
        <v>18280</v>
      </c>
      <c r="G5" s="2" t="s">
        <v>75</v>
      </c>
      <c r="H5" s="2">
        <v>121.617853</v>
      </c>
      <c r="I5" s="2">
        <v>29.878642</v>
      </c>
      <c r="J5" s="2" t="s">
        <v>45</v>
      </c>
      <c r="K5" s="2" t="s">
        <v>46</v>
      </c>
      <c r="L5" s="10">
        <v>2012</v>
      </c>
      <c r="M5" s="2" t="s">
        <v>76</v>
      </c>
      <c r="N5" s="2">
        <v>1</v>
      </c>
      <c r="O5" s="2">
        <v>0</v>
      </c>
      <c r="P5" s="2">
        <v>1</v>
      </c>
      <c r="Q5" s="2">
        <v>6</v>
      </c>
      <c r="R5" s="2">
        <v>13</v>
      </c>
      <c r="S5" s="2">
        <v>31.2</v>
      </c>
      <c r="T5" s="2">
        <v>484</v>
      </c>
      <c r="U5" s="8">
        <f t="shared" si="0"/>
      </c>
      <c r="W5" s="2">
        <v>1</v>
      </c>
      <c r="X5" s="2">
        <v>9.5</v>
      </c>
      <c r="Y5" s="2">
        <v>6</v>
      </c>
      <c r="Z5" s="2">
        <v>8.5</v>
      </c>
      <c r="AA5" s="2">
        <v>8</v>
      </c>
      <c r="AB5" s="2">
        <v>8</v>
      </c>
      <c r="AC5" s="2">
        <v>8.9</v>
      </c>
      <c r="AD5" s="2">
        <v>7.5</v>
      </c>
      <c r="AE5" s="2">
        <v>8.7</v>
      </c>
      <c r="AF5" s="2">
        <v>8.5</v>
      </c>
      <c r="AG5" s="2">
        <v>6</v>
      </c>
      <c r="AH5" s="9" t="s">
        <v>48</v>
      </c>
      <c r="AI5" s="2" t="s">
        <v>77</v>
      </c>
      <c r="AJ5" s="2" t="s">
        <v>69</v>
      </c>
      <c r="AK5" s="2" t="s">
        <v>78</v>
      </c>
      <c r="AL5" s="2" t="s">
        <v>52</v>
      </c>
      <c r="AM5" s="2" t="s">
        <v>79</v>
      </c>
    </row>
    <row customHeight="true" hidden="true" ht="63.7037037037037" r="6">
      <c r="A6" s="1" t="s">
        <v>80</v>
      </c>
      <c r="B6" s="4">
        <v>2.5</v>
      </c>
      <c r="C6" s="2" t="s">
        <v>81</v>
      </c>
      <c r="D6" s="2" t="s">
        <v>82</v>
      </c>
      <c r="E6" s="9" t="s">
        <v>83</v>
      </c>
      <c r="F6" s="3">
        <v>18695</v>
      </c>
      <c r="G6" s="2" t="s">
        <v>84</v>
      </c>
      <c r="H6" s="2">
        <v>121.60957</v>
      </c>
      <c r="I6" s="2">
        <v>29.954898</v>
      </c>
      <c r="J6" s="2" t="s">
        <v>85</v>
      </c>
      <c r="K6" s="2" t="s">
        <v>46</v>
      </c>
      <c r="L6" s="7">
        <v>46379</v>
      </c>
      <c r="M6" s="2" t="s">
        <v>86</v>
      </c>
      <c r="N6" s="2">
        <v>0</v>
      </c>
      <c r="O6" s="2">
        <v>0</v>
      </c>
      <c r="P6" s="2">
        <v>0</v>
      </c>
      <c r="Q6" s="2">
        <v>16</v>
      </c>
      <c r="R6" s="2">
        <v>23</v>
      </c>
      <c r="S6" s="2">
        <v>30</v>
      </c>
      <c r="T6" s="2">
        <v>787</v>
      </c>
      <c r="U6" s="8">
        <f t="shared" si="0"/>
      </c>
      <c r="W6" s="2">
        <v>1</v>
      </c>
      <c r="X6" s="2">
        <v>9.5</v>
      </c>
      <c r="Y6" s="2">
        <v>7</v>
      </c>
      <c r="Z6" s="2">
        <v>5</v>
      </c>
      <c r="AA6" s="2">
        <v>5</v>
      </c>
      <c r="AB6" s="2">
        <v>5</v>
      </c>
      <c r="AC6" s="2">
        <v>10</v>
      </c>
      <c r="AD6" s="2">
        <v>5</v>
      </c>
      <c r="AE6" s="2">
        <v>7.5</v>
      </c>
      <c r="AF6" s="2">
        <v>7.7</v>
      </c>
      <c r="AG6" s="2">
        <v>6</v>
      </c>
      <c r="AH6" s="2" t="s">
        <v>68</v>
      </c>
      <c r="AI6" s="9" t="s">
        <v>49</v>
      </c>
      <c r="AJ6" s="2" t="s">
        <v>50</v>
      </c>
      <c r="AK6" s="2" t="s">
        <v>51</v>
      </c>
      <c r="AL6" s="2" t="s">
        <v>52</v>
      </c>
      <c r="AM6" s="9" t="s">
        <v>71</v>
      </c>
    </row>
    <row customHeight="true" ht="63.7037037037037" r="7">
      <c r="A7" s="1" t="s">
        <v>87</v>
      </c>
      <c r="B7" s="4">
        <v>4</v>
      </c>
      <c r="C7" s="4" t="s">
        <v>88</v>
      </c>
      <c r="D7" s="2" t="s">
        <v>42</v>
      </c>
      <c r="E7" s="2" t="s">
        <v>43</v>
      </c>
      <c r="F7" s="3">
        <v>19329</v>
      </c>
      <c r="G7" s="2" t="s">
        <v>89</v>
      </c>
      <c r="H7" s="2">
        <v>121.669415</v>
      </c>
      <c r="I7" s="2">
        <v>29.852852</v>
      </c>
      <c r="J7" s="2" t="s">
        <v>45</v>
      </c>
      <c r="K7" s="2" t="s">
        <v>46</v>
      </c>
      <c r="L7" s="9">
        <v>2019</v>
      </c>
      <c r="M7" s="2" t="s">
        <v>90</v>
      </c>
      <c r="N7" s="2">
        <v>1</v>
      </c>
      <c r="O7" s="2">
        <v>0</v>
      </c>
      <c r="P7" s="2">
        <v>1</v>
      </c>
      <c r="Q7" s="2">
        <v>29</v>
      </c>
      <c r="R7" s="2">
        <v>43</v>
      </c>
      <c r="S7" s="2">
        <v>30</v>
      </c>
      <c r="T7" s="2">
        <v>982</v>
      </c>
      <c r="U7" s="8">
        <f t="shared" si="0"/>
      </c>
      <c r="W7" s="2">
        <v>1</v>
      </c>
      <c r="X7" s="2">
        <v>9.5</v>
      </c>
      <c r="Y7" s="2">
        <v>7</v>
      </c>
      <c r="Z7" s="2">
        <v>7.5</v>
      </c>
      <c r="AA7" s="2">
        <v>5</v>
      </c>
      <c r="AB7" s="2">
        <v>5</v>
      </c>
      <c r="AC7" s="2">
        <v>8.1</v>
      </c>
      <c r="AD7" s="2">
        <v>9.5</v>
      </c>
      <c r="AE7" s="2">
        <v>8.4</v>
      </c>
      <c r="AF7" s="2">
        <v>7.3</v>
      </c>
      <c r="AG7" s="2">
        <v>6</v>
      </c>
      <c r="AH7" s="2" t="s">
        <v>68</v>
      </c>
      <c r="AI7" s="2" t="s">
        <v>91</v>
      </c>
      <c r="AJ7" s="2" t="s">
        <v>50</v>
      </c>
      <c r="AK7" s="2" t="s">
        <v>51</v>
      </c>
      <c r="AL7" s="2" t="s">
        <v>61</v>
      </c>
      <c r="AM7" s="2" t="s">
        <v>92</v>
      </c>
    </row>
    <row customHeight="true" ht="63.7037037037037" r="8">
      <c r="A8" s="1" t="s">
        <v>87</v>
      </c>
      <c r="B8" s="4">
        <v>4</v>
      </c>
      <c r="C8" s="4" t="s">
        <v>93</v>
      </c>
      <c r="D8" s="4" t="s">
        <v>42</v>
      </c>
      <c r="E8" s="4" t="s">
        <v>43</v>
      </c>
      <c r="F8" s="3">
        <v>19329</v>
      </c>
      <c r="G8" s="4" t="s">
        <v>89</v>
      </c>
      <c r="H8" s="4">
        <v>121.669415</v>
      </c>
      <c r="I8" s="4">
        <v>29.852852</v>
      </c>
      <c r="J8" s="4" t="s">
        <v>45</v>
      </c>
      <c r="K8" s="4" t="s">
        <v>46</v>
      </c>
      <c r="L8" s="10">
        <v>2019</v>
      </c>
      <c r="M8" s="4" t="s">
        <v>90</v>
      </c>
      <c r="N8" s="4">
        <v>1</v>
      </c>
      <c r="O8" s="4">
        <v>0</v>
      </c>
      <c r="P8" s="4">
        <v>1</v>
      </c>
      <c r="Q8" s="4">
        <v>29</v>
      </c>
      <c r="R8" s="4">
        <v>43</v>
      </c>
      <c r="S8" s="4">
        <v>30</v>
      </c>
      <c r="T8" s="4">
        <v>982</v>
      </c>
      <c r="U8" s="8">
        <f t="shared" si="0"/>
      </c>
      <c r="W8" s="4">
        <v>1</v>
      </c>
      <c r="X8" s="4">
        <v>9.5</v>
      </c>
      <c r="Y8" s="4">
        <v>7</v>
      </c>
      <c r="Z8" s="4">
        <v>7.5</v>
      </c>
      <c r="AA8" s="4">
        <v>5</v>
      </c>
      <c r="AB8" s="4">
        <v>5</v>
      </c>
      <c r="AC8" s="4">
        <v>8.1</v>
      </c>
      <c r="AD8" s="4">
        <v>9.5</v>
      </c>
      <c r="AE8" s="4">
        <v>8.4</v>
      </c>
      <c r="AF8" s="4">
        <v>7.3</v>
      </c>
      <c r="AG8" s="4">
        <v>6</v>
      </c>
      <c r="AH8" s="4" t="s">
        <v>68</v>
      </c>
      <c r="AI8" s="4" t="s">
        <v>91</v>
      </c>
      <c r="AJ8" s="4" t="s">
        <v>50</v>
      </c>
      <c r="AK8" s="4" t="s">
        <v>51</v>
      </c>
      <c r="AL8" s="4" t="s">
        <v>61</v>
      </c>
      <c r="AM8" s="4" t="s">
        <v>92</v>
      </c>
    </row>
    <row customHeight="true" hidden="true" ht="63.7037037037037" r="9">
      <c r="A9" s="1" t="s">
        <v>94</v>
      </c>
      <c r="B9" s="4">
        <v>3</v>
      </c>
      <c r="C9" s="4" t="s">
        <v>95</v>
      </c>
      <c r="D9" s="2" t="s">
        <v>82</v>
      </c>
      <c r="E9" s="9" t="s">
        <v>83</v>
      </c>
      <c r="F9" s="3">
        <v>20089</v>
      </c>
      <c r="G9" s="2" t="s">
        <v>96</v>
      </c>
      <c r="H9" s="2">
        <v>121.607082</v>
      </c>
      <c r="I9" s="2">
        <v>29.954765</v>
      </c>
      <c r="J9" s="2" t="s">
        <v>45</v>
      </c>
      <c r="K9" s="2" t="s">
        <v>46</v>
      </c>
      <c r="L9" s="10">
        <v>2019</v>
      </c>
      <c r="M9" s="2" t="s">
        <v>97</v>
      </c>
      <c r="N9" s="2">
        <v>0</v>
      </c>
      <c r="O9" s="2">
        <v>0</v>
      </c>
      <c r="P9" s="2">
        <v>0</v>
      </c>
      <c r="Q9" s="2">
        <v>3</v>
      </c>
      <c r="R9" s="2">
        <v>24</v>
      </c>
      <c r="S9" s="2">
        <v>30</v>
      </c>
      <c r="T9" s="2">
        <v>584</v>
      </c>
      <c r="U9" s="8">
        <f t="shared" si="0"/>
      </c>
      <c r="V9" s="2">
        <v>2</v>
      </c>
      <c r="W9" s="2">
        <v>1</v>
      </c>
      <c r="X9" s="2">
        <v>9.5</v>
      </c>
      <c r="Y9" s="2">
        <v>6.5</v>
      </c>
      <c r="Z9" s="2">
        <v>8.5</v>
      </c>
      <c r="AA9" s="2">
        <v>5</v>
      </c>
      <c r="AB9" s="2">
        <v>8</v>
      </c>
      <c r="AC9" s="2">
        <v>7.8</v>
      </c>
      <c r="AD9" s="2">
        <v>5</v>
      </c>
      <c r="AE9" s="2">
        <v>7.5</v>
      </c>
      <c r="AF9" s="2">
        <v>7.8</v>
      </c>
      <c r="AG9" s="2">
        <v>6</v>
      </c>
      <c r="AH9" s="9" t="s">
        <v>48</v>
      </c>
      <c r="AI9" s="2" t="s">
        <v>77</v>
      </c>
      <c r="AJ9" s="2" t="s">
        <v>50</v>
      </c>
      <c r="AK9" s="2" t="s">
        <v>98</v>
      </c>
      <c r="AL9" s="2" t="s">
        <v>61</v>
      </c>
      <c r="AM9" s="9" t="s">
        <v>71</v>
      </c>
    </row>
    <row customHeight="true" hidden="true" ht="63.7037037037037" r="10">
      <c r="A10" s="1" t="s">
        <v>99</v>
      </c>
      <c r="B10" s="4">
        <v>3</v>
      </c>
      <c r="C10" s="2" t="s">
        <v>100</v>
      </c>
      <c r="D10" s="2" t="s">
        <v>82</v>
      </c>
      <c r="E10" s="9" t="s">
        <v>83</v>
      </c>
      <c r="F10" s="3">
        <v>20499</v>
      </c>
      <c r="G10" s="2" t="s">
        <v>101</v>
      </c>
      <c r="H10" s="2">
        <v>121.5971001</v>
      </c>
      <c r="I10" s="2">
        <v>29.9710216</v>
      </c>
      <c r="J10" s="2" t="s">
        <v>102</v>
      </c>
      <c r="K10" s="2" t="s">
        <v>46</v>
      </c>
      <c r="L10" s="9">
        <v>2019</v>
      </c>
      <c r="M10" s="2" t="s">
        <v>103</v>
      </c>
      <c r="N10" s="2">
        <v>1</v>
      </c>
      <c r="O10" s="2">
        <v>0</v>
      </c>
      <c r="P10" s="2">
        <v>1</v>
      </c>
      <c r="Q10" s="2">
        <v>10</v>
      </c>
      <c r="R10" s="2">
        <v>14</v>
      </c>
      <c r="S10" s="2">
        <v>30</v>
      </c>
      <c r="T10" s="2">
        <v>662</v>
      </c>
      <c r="U10" s="8">
        <f t="shared" si="0"/>
      </c>
      <c r="W10" s="2">
        <v>1</v>
      </c>
      <c r="X10" s="2">
        <v>9.5</v>
      </c>
      <c r="Y10" s="2">
        <v>7</v>
      </c>
      <c r="Z10" s="2">
        <v>9</v>
      </c>
      <c r="AA10" s="2">
        <v>5</v>
      </c>
      <c r="AB10" s="2">
        <v>5</v>
      </c>
      <c r="AC10" s="2">
        <v>6.2</v>
      </c>
      <c r="AD10" s="2">
        <v>5</v>
      </c>
      <c r="AE10" s="2">
        <v>8.4</v>
      </c>
      <c r="AF10" s="2">
        <v>8.2</v>
      </c>
      <c r="AG10" s="2">
        <v>6</v>
      </c>
      <c r="AH10" s="2" t="s">
        <v>68</v>
      </c>
      <c r="AI10" s="2" t="s">
        <v>60</v>
      </c>
      <c r="AJ10" s="2" t="s">
        <v>50</v>
      </c>
      <c r="AK10" s="2" t="s">
        <v>51</v>
      </c>
      <c r="AL10" s="2" t="s">
        <v>104</v>
      </c>
      <c r="AM10" s="9" t="s">
        <v>71</v>
      </c>
    </row>
    <row customHeight="true" ht="63.7037037037037" r="11">
      <c r="A11" s="1" t="s">
        <v>105</v>
      </c>
      <c r="B11" s="4">
        <v>4</v>
      </c>
      <c r="C11" s="4" t="s">
        <v>106</v>
      </c>
      <c r="D11" s="2" t="s">
        <v>42</v>
      </c>
      <c r="E11" s="2" t="s">
        <v>107</v>
      </c>
      <c r="F11" s="3">
        <v>20767</v>
      </c>
      <c r="G11" s="2" t="s">
        <v>108</v>
      </c>
      <c r="H11" s="2">
        <v>121.612681</v>
      </c>
      <c r="I11" s="2">
        <v>29.848292</v>
      </c>
      <c r="J11" s="2" t="s">
        <v>109</v>
      </c>
      <c r="K11" s="2" t="s">
        <v>46</v>
      </c>
      <c r="L11" s="9">
        <v>2018</v>
      </c>
      <c r="M11" s="2" t="s">
        <v>76</v>
      </c>
      <c r="N11" s="2">
        <v>1</v>
      </c>
      <c r="O11" s="2">
        <v>0</v>
      </c>
      <c r="P11" s="2">
        <v>1</v>
      </c>
      <c r="Q11" s="2">
        <v>25</v>
      </c>
      <c r="R11" s="2">
        <v>65</v>
      </c>
      <c r="S11" s="2">
        <v>35</v>
      </c>
      <c r="T11" s="2">
        <v>1050</v>
      </c>
      <c r="U11" s="8">
        <f t="shared" si="0"/>
      </c>
      <c r="W11" s="2">
        <v>1</v>
      </c>
      <c r="X11" s="2">
        <v>9.5</v>
      </c>
      <c r="Y11" s="2">
        <v>8.5</v>
      </c>
      <c r="Z11" s="2">
        <v>8</v>
      </c>
      <c r="AA11" s="2">
        <v>5</v>
      </c>
      <c r="AB11" s="2">
        <v>5</v>
      </c>
      <c r="AC11" s="2">
        <v>8.2</v>
      </c>
      <c r="AD11" s="2">
        <v>9</v>
      </c>
      <c r="AE11" s="2">
        <v>8.6</v>
      </c>
      <c r="AF11" s="2">
        <v>8</v>
      </c>
      <c r="AG11" s="2">
        <v>6</v>
      </c>
      <c r="AH11" s="2" t="s">
        <v>68</v>
      </c>
      <c r="AI11" s="2" t="s">
        <v>77</v>
      </c>
      <c r="AJ11" s="2" t="s">
        <v>50</v>
      </c>
      <c r="AK11" s="2" t="s">
        <v>51</v>
      </c>
      <c r="AL11" s="2" t="s">
        <v>61</v>
      </c>
      <c r="AM11" s="2" t="s">
        <v>110</v>
      </c>
    </row>
    <row customHeight="true" hidden="true" ht="63.7037037037037" r="12">
      <c r="A12" s="1" t="s">
        <v>111</v>
      </c>
      <c r="B12" s="4">
        <v>3.5</v>
      </c>
      <c r="C12" s="2" t="s">
        <v>112</v>
      </c>
      <c r="D12" s="2" t="s">
        <v>42</v>
      </c>
      <c r="E12" s="2" t="s">
        <v>56</v>
      </c>
      <c r="F12" s="3">
        <v>21769</v>
      </c>
      <c r="G12" s="2" t="s">
        <v>113</v>
      </c>
      <c r="H12" s="2">
        <v>121.612836</v>
      </c>
      <c r="I12" s="2">
        <v>29.812272</v>
      </c>
      <c r="J12" s="2" t="s">
        <v>85</v>
      </c>
      <c r="K12" s="2" t="s">
        <v>46</v>
      </c>
      <c r="L12" s="2">
        <v>2021</v>
      </c>
      <c r="M12" s="2" t="s">
        <v>114</v>
      </c>
      <c r="N12" s="2">
        <v>1</v>
      </c>
      <c r="O12" s="2">
        <v>0</v>
      </c>
      <c r="P12" s="2">
        <v>0</v>
      </c>
      <c r="Q12" s="2">
        <v>19</v>
      </c>
      <c r="R12" s="2">
        <v>10</v>
      </c>
      <c r="S12" s="2">
        <v>30</v>
      </c>
      <c r="T12" s="2">
        <v>676</v>
      </c>
      <c r="U12" s="8">
        <f t="shared" si="0"/>
      </c>
      <c r="W12" s="2">
        <v>1</v>
      </c>
      <c r="X12" s="2">
        <v>9.5</v>
      </c>
      <c r="Y12" s="2">
        <v>7</v>
      </c>
      <c r="Z12" s="2">
        <v>9</v>
      </c>
      <c r="AA12" s="2">
        <v>5</v>
      </c>
      <c r="AB12" s="2">
        <v>5</v>
      </c>
      <c r="AC12" s="2">
        <v>9</v>
      </c>
      <c r="AD12" s="2">
        <v>6.5</v>
      </c>
      <c r="AE12" s="2">
        <v>8.4</v>
      </c>
      <c r="AF12" s="2">
        <v>7.7</v>
      </c>
      <c r="AG12" s="2">
        <v>6</v>
      </c>
      <c r="AH12" s="2" t="s">
        <v>68</v>
      </c>
      <c r="AI12" s="2" t="s">
        <v>60</v>
      </c>
      <c r="AJ12" s="2" t="s">
        <v>50</v>
      </c>
      <c r="AK12" s="2" t="s">
        <v>51</v>
      </c>
      <c r="AL12" s="2" t="s">
        <v>52</v>
      </c>
      <c r="AM12" s="2" t="s">
        <v>115</v>
      </c>
    </row>
    <row customHeight="true" ht="63.7037037037037" r="13">
      <c r="A13" s="1" t="s">
        <v>116</v>
      </c>
      <c r="B13" s="4">
        <v>4</v>
      </c>
      <c r="C13" s="2" t="s">
        <v>117</v>
      </c>
      <c r="D13" s="2" t="s">
        <v>42</v>
      </c>
      <c r="E13" s="2" t="s">
        <v>56</v>
      </c>
      <c r="F13" s="3">
        <v>22247</v>
      </c>
      <c r="G13" s="2" t="s">
        <v>118</v>
      </c>
      <c r="H13" s="2">
        <v>121.606068</v>
      </c>
      <c r="I13" s="2">
        <v>29.813814</v>
      </c>
      <c r="J13" s="2" t="s">
        <v>119</v>
      </c>
      <c r="K13" s="2" t="s">
        <v>46</v>
      </c>
      <c r="L13" s="9">
        <v>2018</v>
      </c>
      <c r="M13" s="2" t="s">
        <v>59</v>
      </c>
      <c r="N13" s="2">
        <v>1</v>
      </c>
      <c r="O13" s="2">
        <v>0</v>
      </c>
      <c r="P13" s="2">
        <v>1</v>
      </c>
      <c r="Q13" s="2">
        <v>46</v>
      </c>
      <c r="R13" s="2">
        <v>71</v>
      </c>
      <c r="S13" s="2">
        <v>30</v>
      </c>
      <c r="T13" s="2">
        <v>1133</v>
      </c>
      <c r="U13" s="11">
        <f t="shared" si="0"/>
      </c>
      <c r="W13" s="2">
        <v>1</v>
      </c>
      <c r="X13" s="2">
        <v>9.5</v>
      </c>
      <c r="Y13" s="2">
        <v>7</v>
      </c>
      <c r="Z13" s="2">
        <v>9</v>
      </c>
      <c r="AA13" s="2">
        <v>5</v>
      </c>
      <c r="AB13" s="2">
        <v>5</v>
      </c>
      <c r="AC13" s="2">
        <v>8.6</v>
      </c>
      <c r="AD13" s="2">
        <v>7.5</v>
      </c>
      <c r="AE13" s="2">
        <v>8.5</v>
      </c>
      <c r="AF13" s="2">
        <v>7.7</v>
      </c>
      <c r="AG13" s="2">
        <v>6</v>
      </c>
      <c r="AH13" s="2" t="s">
        <v>68</v>
      </c>
      <c r="AI13" s="2" t="s">
        <v>60</v>
      </c>
      <c r="AJ13" s="2" t="s">
        <v>50</v>
      </c>
      <c r="AK13" s="2" t="s">
        <v>51</v>
      </c>
      <c r="AL13" s="2" t="s">
        <v>52</v>
      </c>
      <c r="AM13" s="2" t="s">
        <v>120</v>
      </c>
    </row>
    <row customHeight="true" ht="63.7037037037037" r="14">
      <c r="A14" s="1" t="s">
        <v>121</v>
      </c>
      <c r="B14" s="4">
        <v>4</v>
      </c>
      <c r="C14" s="2" t="s">
        <v>122</v>
      </c>
      <c r="D14" s="2" t="s">
        <v>42</v>
      </c>
      <c r="E14" s="2" t="s">
        <v>43</v>
      </c>
      <c r="F14" s="3">
        <v>23374</v>
      </c>
      <c r="G14" s="2" t="s">
        <v>123</v>
      </c>
      <c r="H14" s="2">
        <v>121.625353</v>
      </c>
      <c r="I14" s="2">
        <v>29.836053</v>
      </c>
      <c r="J14" s="2" t="s">
        <v>85</v>
      </c>
      <c r="K14" s="2" t="s">
        <v>46</v>
      </c>
      <c r="L14" s="2">
        <v>2022</v>
      </c>
      <c r="M14" s="2" t="s">
        <v>124</v>
      </c>
      <c r="N14" s="2">
        <v>1</v>
      </c>
      <c r="O14" s="2">
        <v>0</v>
      </c>
      <c r="P14" s="2">
        <v>0</v>
      </c>
      <c r="Q14" s="2">
        <v>57</v>
      </c>
      <c r="R14" s="2">
        <v>84</v>
      </c>
      <c r="S14" s="2">
        <v>30</v>
      </c>
      <c r="T14" s="2">
        <v>1359</v>
      </c>
      <c r="U14" s="11">
        <f t="shared" si="0"/>
      </c>
      <c r="W14" s="2">
        <v>1</v>
      </c>
      <c r="X14" s="2">
        <v>9.5</v>
      </c>
      <c r="Y14" s="2">
        <v>6.5</v>
      </c>
      <c r="Z14" s="2">
        <v>7.5</v>
      </c>
      <c r="AA14" s="2">
        <v>5</v>
      </c>
      <c r="AB14" s="2">
        <v>5</v>
      </c>
      <c r="AC14" s="2">
        <v>9.8</v>
      </c>
      <c r="AD14" s="2">
        <v>6</v>
      </c>
      <c r="AE14" s="2">
        <v>8.3</v>
      </c>
      <c r="AF14" s="2">
        <v>7.4</v>
      </c>
      <c r="AG14" s="2">
        <v>6</v>
      </c>
      <c r="AH14" s="9" t="s">
        <v>48</v>
      </c>
      <c r="AI14" s="2" t="s">
        <v>91</v>
      </c>
      <c r="AJ14" s="2" t="s">
        <v>50</v>
      </c>
      <c r="AK14" s="2" t="s">
        <v>51</v>
      </c>
      <c r="AL14" s="2" t="s">
        <v>52</v>
      </c>
      <c r="AM14" s="12" t="s">
        <v>125</v>
      </c>
    </row>
    <row customHeight="true" hidden="true" ht="63.7037037037037" r="15">
      <c r="A15" s="1" t="s">
        <v>126</v>
      </c>
      <c r="B15" s="4">
        <v>3.5</v>
      </c>
      <c r="C15" s="2" t="s">
        <v>127</v>
      </c>
      <c r="D15" s="2" t="s">
        <v>82</v>
      </c>
      <c r="E15" s="2" t="s">
        <v>128</v>
      </c>
      <c r="F15" s="3">
        <v>23430</v>
      </c>
      <c r="G15" s="2" t="s">
        <v>129</v>
      </c>
      <c r="H15" s="2">
        <v>121.612479</v>
      </c>
      <c r="I15" s="2">
        <v>29.934551</v>
      </c>
      <c r="J15" s="2" t="s">
        <v>130</v>
      </c>
      <c r="K15" s="2" t="s">
        <v>46</v>
      </c>
      <c r="L15" s="7">
        <v>46102</v>
      </c>
      <c r="M15" s="2" t="s">
        <v>131</v>
      </c>
      <c r="N15" s="2">
        <v>1</v>
      </c>
      <c r="O15" s="2">
        <v>0</v>
      </c>
      <c r="P15" s="2">
        <v>0</v>
      </c>
      <c r="Q15" s="2">
        <v>44</v>
      </c>
      <c r="R15" s="2">
        <v>53</v>
      </c>
      <c r="S15" s="2">
        <v>30</v>
      </c>
      <c r="T15" s="2">
        <v>1464</v>
      </c>
      <c r="U15" s="8">
        <f t="shared" si="0"/>
      </c>
      <c r="V15" s="2">
        <v>2</v>
      </c>
      <c r="W15" s="2">
        <v>1</v>
      </c>
      <c r="X15" s="2">
        <v>9.5</v>
      </c>
      <c r="Y15" s="2">
        <v>7</v>
      </c>
      <c r="Z15" s="2">
        <v>9.5</v>
      </c>
      <c r="AA15" s="2">
        <v>5</v>
      </c>
      <c r="AB15" s="2">
        <v>9</v>
      </c>
      <c r="AC15" s="2">
        <v>6.8</v>
      </c>
      <c r="AD15" s="2">
        <v>6.5</v>
      </c>
      <c r="AE15" s="2">
        <v>8.6</v>
      </c>
      <c r="AF15" s="2">
        <v>8</v>
      </c>
      <c r="AG15" s="2">
        <v>6</v>
      </c>
      <c r="AH15" s="2" t="s">
        <v>68</v>
      </c>
      <c r="AI15" s="2" t="s">
        <v>60</v>
      </c>
      <c r="AJ15" s="2" t="s">
        <v>50</v>
      </c>
      <c r="AK15" s="2" t="s">
        <v>132</v>
      </c>
      <c r="AL15" s="2" t="s">
        <v>104</v>
      </c>
      <c r="AM15" s="2" t="s">
        <v>133</v>
      </c>
    </row>
    <row customHeight="true" hidden="true" ht="63.7037037037037" r="16">
      <c r="A16" s="1" t="s">
        <v>134</v>
      </c>
      <c r="B16" s="4">
        <v>3.5</v>
      </c>
      <c r="C16" s="2" t="s">
        <v>135</v>
      </c>
      <c r="D16" s="2" t="s">
        <v>42</v>
      </c>
      <c r="E16" s="2" t="s">
        <v>136</v>
      </c>
      <c r="F16" s="3">
        <v>23500</v>
      </c>
      <c r="G16" s="2" t="s">
        <v>137</v>
      </c>
      <c r="H16" s="2">
        <v>121.583162</v>
      </c>
      <c r="I16" s="2">
        <v>29.84949</v>
      </c>
      <c r="J16" s="2" t="s">
        <v>85</v>
      </c>
      <c r="L16" s="13">
        <v>45285</v>
      </c>
      <c r="M16" s="2" t="s">
        <v>138</v>
      </c>
      <c r="N16" s="2">
        <v>0</v>
      </c>
      <c r="O16" s="2">
        <v>0</v>
      </c>
      <c r="P16" s="2">
        <v>1</v>
      </c>
      <c r="Q16" s="2">
        <v>0</v>
      </c>
      <c r="R16" s="2">
        <v>0</v>
      </c>
      <c r="S16" s="2">
        <v>30</v>
      </c>
      <c r="T16" s="2">
        <v>0</v>
      </c>
      <c r="U16" s="8">
        <f t="shared" si="0"/>
      </c>
      <c r="W16" s="2">
        <v>0</v>
      </c>
    </row>
    <row customHeight="true" ht="63.7037037037037" r="17">
      <c r="A17" s="1" t="s">
        <v>139</v>
      </c>
      <c r="B17" s="4">
        <v>4</v>
      </c>
      <c r="C17" s="2" t="s">
        <v>140</v>
      </c>
      <c r="D17" s="2" t="s">
        <v>141</v>
      </c>
      <c r="E17" s="2" t="s">
        <v>142</v>
      </c>
      <c r="F17" s="3">
        <v>23746</v>
      </c>
      <c r="G17" s="2" t="s">
        <v>143</v>
      </c>
      <c r="H17" s="2">
        <v>121.638361</v>
      </c>
      <c r="I17" s="2">
        <v>29.901881</v>
      </c>
      <c r="J17" s="2" t="s">
        <v>45</v>
      </c>
      <c r="K17" s="2" t="s">
        <v>46</v>
      </c>
      <c r="L17" s="9">
        <v>2019</v>
      </c>
      <c r="M17" s="2" t="s">
        <v>76</v>
      </c>
      <c r="N17" s="2">
        <v>1</v>
      </c>
      <c r="O17" s="2">
        <v>0</v>
      </c>
      <c r="P17" s="2">
        <v>1</v>
      </c>
      <c r="Q17" s="2">
        <v>18</v>
      </c>
      <c r="R17" s="2">
        <v>23</v>
      </c>
      <c r="S17" s="2">
        <v>30</v>
      </c>
      <c r="T17" s="2">
        <v>780</v>
      </c>
      <c r="U17" s="8">
        <f t="shared" si="0"/>
      </c>
      <c r="W17" s="2">
        <v>1</v>
      </c>
      <c r="X17" s="2">
        <v>9.5</v>
      </c>
      <c r="Y17" s="2">
        <v>7</v>
      </c>
      <c r="Z17" s="2">
        <v>8.5</v>
      </c>
      <c r="AA17" s="2">
        <v>5</v>
      </c>
      <c r="AB17" s="2">
        <v>5</v>
      </c>
      <c r="AC17" s="2">
        <v>8.2</v>
      </c>
      <c r="AD17" s="2">
        <v>7</v>
      </c>
      <c r="AE17" s="2">
        <v>8.4</v>
      </c>
      <c r="AF17" s="2">
        <v>7.7</v>
      </c>
      <c r="AG17" s="2">
        <v>6</v>
      </c>
      <c r="AH17" s="2" t="s">
        <v>68</v>
      </c>
      <c r="AI17" s="2" t="s">
        <v>77</v>
      </c>
      <c r="AJ17" s="2" t="s">
        <v>50</v>
      </c>
      <c r="AK17" s="2" t="s">
        <v>51</v>
      </c>
      <c r="AL17" s="2" t="s">
        <v>61</v>
      </c>
      <c r="AM17" s="2" t="s">
        <v>144</v>
      </c>
    </row>
    <row customHeight="true" hidden="true" ht="63.7037037037037" r="18">
      <c r="A18" s="1"/>
      <c r="B18" s="4"/>
      <c r="C18" s="2" t="s">
        <v>145</v>
      </c>
      <c r="D18" s="2" t="s">
        <v>82</v>
      </c>
      <c r="E18" s="2" t="s">
        <v>128</v>
      </c>
      <c r="F18" s="3">
        <v>23964</v>
      </c>
      <c r="G18" s="2" t="s">
        <v>146</v>
      </c>
      <c r="H18" s="2">
        <v>121.645065</v>
      </c>
      <c r="I18" s="2">
        <v>29.92986</v>
      </c>
      <c r="J18" s="2" t="s">
        <v>147</v>
      </c>
      <c r="K18" s="2" t="s">
        <v>46</v>
      </c>
      <c r="L18" s="2">
        <v>2020</v>
      </c>
      <c r="M18" s="2" t="s">
        <v>148</v>
      </c>
      <c r="N18" s="2">
        <v>1</v>
      </c>
      <c r="O18" s="2">
        <v>0</v>
      </c>
      <c r="P18" s="2">
        <v>0</v>
      </c>
      <c r="Q18" s="2">
        <v>22</v>
      </c>
      <c r="R18" s="2">
        <v>15</v>
      </c>
      <c r="S18" s="2">
        <v>30</v>
      </c>
      <c r="T18" s="2">
        <v>768</v>
      </c>
      <c r="U18" s="8">
        <f t="shared" si="0"/>
      </c>
      <c r="W18" s="2">
        <v>1</v>
      </c>
      <c r="X18" s="2">
        <v>9.5</v>
      </c>
      <c r="Y18" s="2">
        <v>7.5</v>
      </c>
      <c r="Z18" s="2">
        <v>8</v>
      </c>
      <c r="AA18" s="2">
        <v>5</v>
      </c>
      <c r="AB18" s="2">
        <v>5</v>
      </c>
      <c r="AC18" s="2">
        <v>8.5</v>
      </c>
      <c r="AD18" s="2">
        <v>6</v>
      </c>
      <c r="AE18" s="2">
        <v>7.9</v>
      </c>
      <c r="AF18" s="2">
        <v>7.8</v>
      </c>
      <c r="AG18" s="2">
        <v>6</v>
      </c>
      <c r="AH18" s="2" t="s">
        <v>68</v>
      </c>
      <c r="AI18" s="2" t="s">
        <v>77</v>
      </c>
      <c r="AJ18" s="2" t="s">
        <v>50</v>
      </c>
      <c r="AK18" s="2" t="s">
        <v>51</v>
      </c>
      <c r="AL18" s="2" t="s">
        <v>52</v>
      </c>
      <c r="AM18" s="2" t="s">
        <v>149</v>
      </c>
    </row>
    <row customHeight="true" hidden="true" ht="63.7037037037037" r="19">
      <c r="A19" s="1" t="s">
        <v>150</v>
      </c>
      <c r="B19" s="4">
        <v>3.5</v>
      </c>
      <c r="C19" s="2" t="s">
        <v>151</v>
      </c>
      <c r="D19" s="2" t="s">
        <v>42</v>
      </c>
      <c r="E19" s="2" t="s">
        <v>152</v>
      </c>
      <c r="F19" s="3">
        <v>23991</v>
      </c>
      <c r="G19" s="2" t="s">
        <v>153</v>
      </c>
      <c r="H19" s="2">
        <v>121.581368</v>
      </c>
      <c r="I19" s="2">
        <v>29.884739</v>
      </c>
      <c r="J19" s="2" t="s">
        <v>45</v>
      </c>
      <c r="K19" s="2" t="s">
        <v>154</v>
      </c>
      <c r="L19" s="7">
        <v>46044</v>
      </c>
      <c r="M19" s="2" t="s">
        <v>155</v>
      </c>
      <c r="N19" s="2">
        <v>1</v>
      </c>
      <c r="O19" s="2">
        <v>0</v>
      </c>
      <c r="P19" s="2">
        <v>0</v>
      </c>
      <c r="Q19" s="2">
        <v>7</v>
      </c>
      <c r="R19" s="2">
        <v>104</v>
      </c>
      <c r="T19" s="2">
        <v>1122</v>
      </c>
      <c r="U19" s="11">
        <f t="shared" si="0"/>
      </c>
      <c r="W19" s="2">
        <v>0</v>
      </c>
      <c r="X19" s="2">
        <v>9.5</v>
      </c>
      <c r="Y19" s="2">
        <v>5</v>
      </c>
      <c r="Z19" s="2">
        <v>5</v>
      </c>
      <c r="AA19" s="2">
        <v>5</v>
      </c>
      <c r="AB19" s="2">
        <v>5</v>
      </c>
      <c r="AC19" s="2">
        <v>9.3</v>
      </c>
      <c r="AD19" s="2">
        <v>5</v>
      </c>
      <c r="AE19" s="2">
        <v>9.4</v>
      </c>
      <c r="AF19" s="2">
        <v>9.2</v>
      </c>
      <c r="AG19" s="2">
        <v>6</v>
      </c>
      <c r="AH19" s="9" t="s">
        <v>48</v>
      </c>
      <c r="AI19" s="9" t="s">
        <v>49</v>
      </c>
      <c r="AJ19" s="2" t="s">
        <v>50</v>
      </c>
      <c r="AK19" s="2" t="s">
        <v>51</v>
      </c>
      <c r="AL19" s="2" t="s">
        <v>52</v>
      </c>
      <c r="AM19" s="9" t="s">
        <v>71</v>
      </c>
    </row>
    <row customHeight="true" ht="63.7037037037037" r="20">
      <c r="A20" s="1" t="s">
        <v>156</v>
      </c>
      <c r="B20" s="4">
        <v>4</v>
      </c>
      <c r="C20" s="2" t="s">
        <v>157</v>
      </c>
      <c r="D20" s="2" t="s">
        <v>141</v>
      </c>
      <c r="E20" s="2" t="s">
        <v>158</v>
      </c>
      <c r="F20" s="3">
        <v>24791</v>
      </c>
      <c r="G20" s="2" t="s">
        <v>159</v>
      </c>
      <c r="H20" s="2">
        <v>121.617598</v>
      </c>
      <c r="I20" s="2">
        <v>29.893509</v>
      </c>
      <c r="J20" s="2" t="s">
        <v>45</v>
      </c>
      <c r="K20" s="2" t="s">
        <v>46</v>
      </c>
      <c r="L20" s="9">
        <v>2018</v>
      </c>
      <c r="M20" s="2" t="s">
        <v>160</v>
      </c>
      <c r="N20" s="2">
        <v>1</v>
      </c>
      <c r="O20" s="2">
        <v>0</v>
      </c>
      <c r="P20" s="2">
        <v>1</v>
      </c>
      <c r="Q20" s="2">
        <v>6</v>
      </c>
      <c r="R20" s="2">
        <v>7</v>
      </c>
      <c r="S20" s="2">
        <v>30</v>
      </c>
      <c r="T20" s="2">
        <v>339</v>
      </c>
      <c r="U20" s="8">
        <f t="shared" si="0"/>
      </c>
      <c r="W20" s="2">
        <v>1</v>
      </c>
      <c r="X20" s="2">
        <v>9.5</v>
      </c>
      <c r="Y20" s="2">
        <v>7</v>
      </c>
      <c r="Z20" s="2">
        <v>9</v>
      </c>
      <c r="AA20" s="2">
        <v>6</v>
      </c>
      <c r="AB20" s="2">
        <v>8</v>
      </c>
      <c r="AC20" s="2">
        <v>6.6</v>
      </c>
      <c r="AD20" s="2">
        <v>6.5</v>
      </c>
      <c r="AE20" s="2">
        <v>8.7</v>
      </c>
      <c r="AF20" s="2">
        <v>8.2</v>
      </c>
      <c r="AG20" s="2">
        <v>6</v>
      </c>
      <c r="AH20" s="2" t="s">
        <v>68</v>
      </c>
      <c r="AI20" s="2" t="s">
        <v>60</v>
      </c>
      <c r="AJ20" s="2" t="s">
        <v>161</v>
      </c>
      <c r="AK20" s="2" t="s">
        <v>78</v>
      </c>
      <c r="AL20" s="2" t="s">
        <v>104</v>
      </c>
      <c r="AM20" s="2" t="s">
        <v>162</v>
      </c>
    </row>
    <row customHeight="true" hidden="true" ht="63.7037037037037" r="21">
      <c r="A21" s="1" t="s">
        <v>163</v>
      </c>
      <c r="B21" s="4">
        <v>2</v>
      </c>
      <c r="C21" s="4" t="s">
        <v>164</v>
      </c>
      <c r="D21" s="2" t="s">
        <v>141</v>
      </c>
      <c r="E21" s="2" t="s">
        <v>142</v>
      </c>
      <c r="F21" s="3">
        <v>25000</v>
      </c>
      <c r="G21" s="2" t="s">
        <v>165</v>
      </c>
      <c r="H21" s="2">
        <v>121.59141</v>
      </c>
      <c r="I21" s="2">
        <v>29.903538</v>
      </c>
      <c r="J21" s="2" t="s">
        <v>130</v>
      </c>
      <c r="K21" s="4" t="s">
        <v>46</v>
      </c>
      <c r="L21" s="13">
        <v>45657</v>
      </c>
      <c r="M21" s="2" t="s">
        <v>166</v>
      </c>
      <c r="N21" s="2">
        <v>0</v>
      </c>
      <c r="O21" s="2">
        <v>0</v>
      </c>
      <c r="P21" s="2">
        <v>1</v>
      </c>
      <c r="Q21" s="2">
        <v>0</v>
      </c>
      <c r="R21" s="2">
        <v>0</v>
      </c>
      <c r="S21" s="2">
        <v>30</v>
      </c>
      <c r="T21" s="4">
        <v>1000</v>
      </c>
      <c r="U21" s="8">
        <f t="shared" si="0"/>
      </c>
      <c r="W21" s="2">
        <v>0</v>
      </c>
    </row>
    <row customHeight="true" hidden="true" ht="63.7037037037037" r="22">
      <c r="A22" s="1" t="s">
        <v>167</v>
      </c>
      <c r="B22" s="4">
        <v>3</v>
      </c>
      <c r="C22" s="2" t="s">
        <v>168</v>
      </c>
      <c r="D22" s="2" t="s">
        <v>141</v>
      </c>
      <c r="E22" s="2" t="s">
        <v>169</v>
      </c>
      <c r="F22" s="3">
        <v>25409</v>
      </c>
      <c r="G22" s="2" t="s">
        <v>170</v>
      </c>
      <c r="H22" s="2">
        <v>121.639875</v>
      </c>
      <c r="I22" s="2">
        <v>29.880043</v>
      </c>
      <c r="J22" s="2" t="s">
        <v>171</v>
      </c>
      <c r="K22" s="2" t="s">
        <v>46</v>
      </c>
      <c r="L22" s="9">
        <v>2018</v>
      </c>
      <c r="M22" s="2" t="s">
        <v>172</v>
      </c>
      <c r="N22" s="2">
        <v>1</v>
      </c>
      <c r="O22" s="2">
        <v>0</v>
      </c>
      <c r="P22" s="2">
        <v>1</v>
      </c>
      <c r="Q22" s="2">
        <v>18</v>
      </c>
      <c r="R22" s="2">
        <v>33</v>
      </c>
      <c r="S22" s="2">
        <v>30</v>
      </c>
      <c r="T22" s="2">
        <v>806</v>
      </c>
      <c r="U22" s="8">
        <f t="shared" si="0"/>
      </c>
      <c r="W22" s="2">
        <v>1</v>
      </c>
      <c r="X22" s="2">
        <v>9.5</v>
      </c>
      <c r="Y22" s="2">
        <v>8</v>
      </c>
      <c r="Z22" s="2">
        <v>7.5</v>
      </c>
      <c r="AA22" s="2">
        <v>5</v>
      </c>
      <c r="AB22" s="2">
        <v>5</v>
      </c>
      <c r="AC22" s="2">
        <v>7.8</v>
      </c>
      <c r="AD22" s="2">
        <v>6</v>
      </c>
      <c r="AE22" s="2">
        <v>8.4</v>
      </c>
      <c r="AF22" s="2">
        <v>8.1</v>
      </c>
      <c r="AG22" s="2">
        <v>6</v>
      </c>
      <c r="AH22" s="2" t="s">
        <v>68</v>
      </c>
      <c r="AI22" s="2" t="s">
        <v>91</v>
      </c>
      <c r="AJ22" s="2" t="s">
        <v>50</v>
      </c>
      <c r="AK22" s="2" t="s">
        <v>51</v>
      </c>
      <c r="AL22" s="2" t="s">
        <v>61</v>
      </c>
      <c r="AM22" s="2" t="s">
        <v>173</v>
      </c>
    </row>
    <row customHeight="true" hidden="true" ht="63.7037037037037" r="23">
      <c r="A23" s="1" t="s">
        <v>174</v>
      </c>
      <c r="B23" s="4">
        <v>3</v>
      </c>
      <c r="C23" s="2" t="s">
        <v>175</v>
      </c>
      <c r="D23" s="2" t="s">
        <v>42</v>
      </c>
      <c r="E23" s="2" t="s">
        <v>136</v>
      </c>
      <c r="F23" s="3">
        <v>25512</v>
      </c>
      <c r="G23" s="2" t="s">
        <v>176</v>
      </c>
      <c r="H23" s="2">
        <v>121.6024</v>
      </c>
      <c r="I23" s="2">
        <v>29.857312</v>
      </c>
      <c r="J23" s="2" t="s">
        <v>45</v>
      </c>
      <c r="K23" s="2" t="s">
        <v>46</v>
      </c>
      <c r="L23" s="2">
        <v>2021</v>
      </c>
      <c r="M23" s="2" t="s">
        <v>177</v>
      </c>
      <c r="N23" s="2">
        <v>1</v>
      </c>
      <c r="O23" s="2">
        <v>0</v>
      </c>
      <c r="P23" s="2">
        <v>0</v>
      </c>
      <c r="Q23" s="2">
        <v>6</v>
      </c>
      <c r="R23" s="2">
        <v>17</v>
      </c>
      <c r="S23" s="2">
        <v>30</v>
      </c>
      <c r="T23" s="2">
        <v>216</v>
      </c>
      <c r="U23" s="11">
        <f t="shared" si="0"/>
      </c>
      <c r="W23" s="2">
        <v>1</v>
      </c>
      <c r="X23" s="2">
        <v>9.5</v>
      </c>
      <c r="Y23" s="2">
        <v>6</v>
      </c>
      <c r="Z23" s="2">
        <v>9.5</v>
      </c>
      <c r="AA23" s="2">
        <v>5</v>
      </c>
      <c r="AB23" s="2">
        <v>5</v>
      </c>
      <c r="AC23" s="2">
        <v>10</v>
      </c>
      <c r="AD23" s="2">
        <v>8</v>
      </c>
      <c r="AE23" s="2">
        <v>8.6</v>
      </c>
      <c r="AF23" s="2">
        <v>8.6</v>
      </c>
      <c r="AG23" s="2">
        <v>6</v>
      </c>
      <c r="AH23" s="9" t="s">
        <v>48</v>
      </c>
      <c r="AI23" s="2" t="s">
        <v>60</v>
      </c>
      <c r="AJ23" s="2" t="s">
        <v>50</v>
      </c>
      <c r="AK23" s="2" t="s">
        <v>51</v>
      </c>
      <c r="AL23" s="2" t="s">
        <v>52</v>
      </c>
      <c r="AM23" s="2" t="s">
        <v>178</v>
      </c>
    </row>
    <row customHeight="true" hidden="true" ht="63.7037037037037" r="24">
      <c r="A24" s="1" t="s">
        <v>179</v>
      </c>
      <c r="B24" s="4">
        <v>3.5</v>
      </c>
      <c r="C24" s="2" t="s">
        <v>180</v>
      </c>
      <c r="D24" s="2" t="s">
        <v>42</v>
      </c>
      <c r="E24" s="2" t="s">
        <v>136</v>
      </c>
      <c r="F24" s="3">
        <v>25677</v>
      </c>
      <c r="G24" s="2" t="s">
        <v>181</v>
      </c>
      <c r="H24" s="2">
        <v>121.598741</v>
      </c>
      <c r="I24" s="2">
        <v>29.85209</v>
      </c>
      <c r="J24" s="2" t="s">
        <v>45</v>
      </c>
      <c r="K24" s="2" t="s">
        <v>46</v>
      </c>
      <c r="L24" s="9">
        <v>2018</v>
      </c>
      <c r="M24" s="2" t="s">
        <v>182</v>
      </c>
      <c r="N24" s="2">
        <v>1</v>
      </c>
      <c r="O24" s="2">
        <v>0</v>
      </c>
      <c r="P24" s="2">
        <v>1</v>
      </c>
      <c r="Q24" s="2">
        <v>10</v>
      </c>
      <c r="R24" s="2">
        <v>9</v>
      </c>
      <c r="S24" s="2">
        <v>30</v>
      </c>
      <c r="T24" s="2">
        <v>657</v>
      </c>
      <c r="U24" s="8">
        <f t="shared" si="0"/>
      </c>
      <c r="W24" s="2">
        <v>1</v>
      </c>
      <c r="X24" s="2">
        <v>9.5</v>
      </c>
      <c r="Y24" s="2">
        <v>7</v>
      </c>
      <c r="Z24" s="2">
        <v>8.5</v>
      </c>
      <c r="AA24" s="2">
        <v>5</v>
      </c>
      <c r="AB24" s="2">
        <v>5</v>
      </c>
      <c r="AC24" s="2">
        <v>7.6</v>
      </c>
      <c r="AD24" s="2">
        <v>8</v>
      </c>
      <c r="AE24" s="2">
        <v>8.3</v>
      </c>
      <c r="AF24" s="2">
        <v>8.4</v>
      </c>
      <c r="AG24" s="2">
        <v>6</v>
      </c>
      <c r="AH24" s="2" t="s">
        <v>68</v>
      </c>
      <c r="AI24" s="2" t="s">
        <v>77</v>
      </c>
      <c r="AJ24" s="2" t="s">
        <v>50</v>
      </c>
      <c r="AK24" s="2" t="s">
        <v>51</v>
      </c>
      <c r="AL24" s="2" t="s">
        <v>61</v>
      </c>
      <c r="AM24" s="2" t="s">
        <v>183</v>
      </c>
    </row>
    <row customHeight="true" hidden="true" ht="63.7037037037037" r="25">
      <c r="A25" s="1" t="s">
        <v>184</v>
      </c>
      <c r="B25" s="4">
        <v>3.5</v>
      </c>
      <c r="C25" s="2" t="s">
        <v>185</v>
      </c>
      <c r="D25" s="2" t="s">
        <v>42</v>
      </c>
      <c r="E25" s="2" t="s">
        <v>186</v>
      </c>
      <c r="F25" s="3">
        <v>26100</v>
      </c>
      <c r="G25" s="2" t="s">
        <v>187</v>
      </c>
      <c r="H25" s="2">
        <v>121.654289</v>
      </c>
      <c r="I25" s="2">
        <v>29.898308</v>
      </c>
      <c r="J25" s="2" t="s">
        <v>45</v>
      </c>
      <c r="K25" s="2" t="s">
        <v>46</v>
      </c>
      <c r="L25" s="7">
        <v>46104</v>
      </c>
      <c r="M25" s="2" t="s">
        <v>47</v>
      </c>
      <c r="N25" s="2">
        <v>1</v>
      </c>
      <c r="O25" s="2">
        <v>0</v>
      </c>
      <c r="P25" s="2">
        <v>0</v>
      </c>
      <c r="Q25" s="2">
        <v>19</v>
      </c>
      <c r="R25" s="2">
        <v>32</v>
      </c>
      <c r="T25" s="2">
        <v>463</v>
      </c>
      <c r="U25" s="11">
        <f t="shared" si="0"/>
      </c>
      <c r="W25" s="2">
        <v>1</v>
      </c>
      <c r="X25" s="2">
        <v>9.5</v>
      </c>
      <c r="Y25" s="2">
        <v>5</v>
      </c>
      <c r="Z25" s="2">
        <v>5</v>
      </c>
      <c r="AA25" s="2">
        <v>5</v>
      </c>
      <c r="AB25" s="2">
        <v>5</v>
      </c>
      <c r="AC25" s="2">
        <v>6</v>
      </c>
      <c r="AD25" s="2">
        <v>5</v>
      </c>
      <c r="AE25" s="2">
        <v>8.1</v>
      </c>
      <c r="AF25" s="2">
        <v>7.7</v>
      </c>
      <c r="AG25" s="2">
        <v>6</v>
      </c>
      <c r="AH25" s="9" t="s">
        <v>48</v>
      </c>
      <c r="AI25" s="9" t="s">
        <v>49</v>
      </c>
      <c r="AJ25" s="2" t="s">
        <v>50</v>
      </c>
      <c r="AK25" s="2" t="s">
        <v>51</v>
      </c>
      <c r="AL25" s="2" t="s">
        <v>104</v>
      </c>
      <c r="AM25" s="9" t="s">
        <v>71</v>
      </c>
    </row>
    <row customHeight="true" hidden="true" ht="63.7037037037037" r="26">
      <c r="A26" s="1"/>
      <c r="B26" s="4"/>
      <c r="C26" s="2" t="s">
        <v>188</v>
      </c>
      <c r="D26" s="2" t="s">
        <v>82</v>
      </c>
      <c r="E26" s="2" t="s">
        <v>128</v>
      </c>
      <c r="F26" s="3">
        <v>26106</v>
      </c>
      <c r="G26" s="2" t="s">
        <v>189</v>
      </c>
      <c r="H26" s="2">
        <v>121.630867</v>
      </c>
      <c r="I26" s="2">
        <v>29.926513</v>
      </c>
      <c r="J26" s="2" t="s">
        <v>45</v>
      </c>
      <c r="K26" s="2" t="s">
        <v>46</v>
      </c>
      <c r="L26" s="9">
        <v>2018</v>
      </c>
      <c r="M26" s="2" t="s">
        <v>76</v>
      </c>
      <c r="N26" s="2">
        <v>1</v>
      </c>
      <c r="O26" s="2">
        <v>0</v>
      </c>
      <c r="P26" s="2">
        <v>1</v>
      </c>
      <c r="Q26" s="2">
        <v>51</v>
      </c>
      <c r="R26" s="2">
        <v>26</v>
      </c>
      <c r="S26" s="2">
        <v>30</v>
      </c>
      <c r="T26" s="2">
        <v>1568</v>
      </c>
      <c r="U26" s="8">
        <f t="shared" si="0"/>
      </c>
      <c r="V26" s="2">
        <v>2</v>
      </c>
      <c r="W26" s="2">
        <v>1</v>
      </c>
      <c r="X26" s="2">
        <v>9.5</v>
      </c>
      <c r="Y26" s="2">
        <v>6.5</v>
      </c>
      <c r="Z26" s="2">
        <v>9.5</v>
      </c>
      <c r="AA26" s="2">
        <v>5</v>
      </c>
      <c r="AB26" s="2">
        <v>9</v>
      </c>
      <c r="AC26" s="2">
        <v>8.3</v>
      </c>
      <c r="AD26" s="2">
        <v>7</v>
      </c>
      <c r="AE26" s="2">
        <v>8.5</v>
      </c>
      <c r="AF26" s="2">
        <v>8.1</v>
      </c>
      <c r="AG26" s="2">
        <v>6</v>
      </c>
      <c r="AH26" s="9" t="s">
        <v>48</v>
      </c>
      <c r="AI26" s="2" t="s">
        <v>60</v>
      </c>
      <c r="AJ26" s="2" t="s">
        <v>50</v>
      </c>
      <c r="AK26" s="2" t="s">
        <v>132</v>
      </c>
      <c r="AL26" s="2" t="s">
        <v>61</v>
      </c>
      <c r="AM26" s="2" t="s">
        <v>190</v>
      </c>
    </row>
    <row customHeight="true" ht="63.7037037037037" r="27">
      <c r="A27" s="1" t="s">
        <v>191</v>
      </c>
      <c r="B27" s="4">
        <v>4</v>
      </c>
      <c r="C27" s="2" t="s">
        <v>192</v>
      </c>
      <c r="D27" s="2" t="s">
        <v>42</v>
      </c>
      <c r="E27" s="2" t="s">
        <v>193</v>
      </c>
      <c r="F27" s="3">
        <v>26249</v>
      </c>
      <c r="G27" s="2" t="s">
        <v>194</v>
      </c>
      <c r="H27" s="2">
        <v>121.592219</v>
      </c>
      <c r="I27" s="2">
        <v>29.830816</v>
      </c>
      <c r="J27" s="2" t="s">
        <v>45</v>
      </c>
      <c r="K27" s="2" t="s">
        <v>46</v>
      </c>
      <c r="L27" s="9">
        <v>2018</v>
      </c>
      <c r="M27" s="2" t="s">
        <v>59</v>
      </c>
      <c r="N27" s="2">
        <v>1</v>
      </c>
      <c r="O27" s="2">
        <v>0</v>
      </c>
      <c r="P27" s="2">
        <v>1</v>
      </c>
      <c r="Q27" s="2">
        <v>18</v>
      </c>
      <c r="R27" s="2">
        <v>12</v>
      </c>
      <c r="S27" s="2">
        <v>30</v>
      </c>
      <c r="T27" s="2">
        <v>600</v>
      </c>
      <c r="U27" s="8">
        <f t="shared" si="0"/>
      </c>
      <c r="V27" s="2">
        <v>2</v>
      </c>
      <c r="W27" s="2">
        <v>1</v>
      </c>
      <c r="X27" s="2">
        <v>9.5</v>
      </c>
      <c r="Y27" s="2">
        <v>7</v>
      </c>
      <c r="Z27" s="2">
        <v>8.5</v>
      </c>
      <c r="AA27" s="2">
        <v>5</v>
      </c>
      <c r="AB27" s="2">
        <v>9</v>
      </c>
      <c r="AC27" s="2">
        <v>7.9</v>
      </c>
      <c r="AD27" s="2">
        <v>9</v>
      </c>
      <c r="AE27" s="2">
        <v>8.6</v>
      </c>
      <c r="AF27" s="2">
        <v>8.2</v>
      </c>
      <c r="AG27" s="2">
        <v>6</v>
      </c>
      <c r="AH27" s="2" t="s">
        <v>68</v>
      </c>
      <c r="AI27" s="2" t="s">
        <v>77</v>
      </c>
      <c r="AJ27" s="2" t="s">
        <v>50</v>
      </c>
      <c r="AK27" s="2" t="s">
        <v>195</v>
      </c>
      <c r="AL27" s="2" t="s">
        <v>61</v>
      </c>
      <c r="AM27" s="2" t="s">
        <v>196</v>
      </c>
    </row>
    <row customHeight="true" ht="63.7037037037037" r="28">
      <c r="A28" s="1" t="s">
        <v>197</v>
      </c>
      <c r="B28" s="4">
        <v>4</v>
      </c>
      <c r="C28" s="2" t="s">
        <v>198</v>
      </c>
      <c r="D28" s="2" t="s">
        <v>42</v>
      </c>
      <c r="E28" s="2" t="s">
        <v>199</v>
      </c>
      <c r="F28" s="3">
        <v>29448</v>
      </c>
      <c r="G28" s="2" t="s">
        <v>200</v>
      </c>
      <c r="H28" s="2">
        <v>121.629691</v>
      </c>
      <c r="I28" s="2">
        <v>29.901994</v>
      </c>
      <c r="J28" s="2" t="s">
        <v>45</v>
      </c>
      <c r="K28" s="2" t="s">
        <v>46</v>
      </c>
      <c r="L28" s="2">
        <v>2021</v>
      </c>
      <c r="M28" s="2" t="s">
        <v>201</v>
      </c>
      <c r="N28" s="2">
        <v>1</v>
      </c>
      <c r="O28" s="2">
        <v>0</v>
      </c>
      <c r="P28" s="2">
        <v>0</v>
      </c>
      <c r="Q28" s="2">
        <v>14</v>
      </c>
      <c r="R28" s="2">
        <v>5</v>
      </c>
      <c r="S28" s="2">
        <v>30</v>
      </c>
      <c r="T28" s="2">
        <v>521</v>
      </c>
      <c r="U28" s="8">
        <f t="shared" si="0"/>
      </c>
      <c r="W28" s="2">
        <v>1</v>
      </c>
      <c r="X28" s="2">
        <v>9.5</v>
      </c>
      <c r="Y28" s="2">
        <v>7</v>
      </c>
      <c r="Z28" s="2">
        <v>8</v>
      </c>
      <c r="AA28" s="2">
        <v>5</v>
      </c>
      <c r="AB28" s="2">
        <v>5</v>
      </c>
      <c r="AC28" s="2">
        <v>8.7</v>
      </c>
      <c r="AD28" s="2">
        <v>9.5</v>
      </c>
      <c r="AE28" s="2">
        <v>9</v>
      </c>
      <c r="AF28" s="2">
        <v>7.9</v>
      </c>
      <c r="AG28" s="2">
        <v>6</v>
      </c>
      <c r="AH28" s="2" t="s">
        <v>68</v>
      </c>
      <c r="AI28" s="2" t="s">
        <v>77</v>
      </c>
      <c r="AJ28" s="2" t="s">
        <v>50</v>
      </c>
      <c r="AK28" s="2" t="s">
        <v>51</v>
      </c>
      <c r="AL28" s="2" t="s">
        <v>52</v>
      </c>
      <c r="AM28" s="2" t="s">
        <v>202</v>
      </c>
    </row>
    <row customHeight="true" ht="63.7037037037037" r="29">
      <c r="A29" s="1" t="s">
        <v>203</v>
      </c>
      <c r="B29" s="4">
        <v>4.5</v>
      </c>
      <c r="C29" s="2" t="s">
        <v>204</v>
      </c>
      <c r="D29" s="2" t="s">
        <v>141</v>
      </c>
      <c r="E29" s="2" t="s">
        <v>142</v>
      </c>
      <c r="F29" s="3">
        <v>26277</v>
      </c>
      <c r="G29" s="2" t="s">
        <v>205</v>
      </c>
      <c r="H29" s="2">
        <v>121.637432</v>
      </c>
      <c r="I29" s="2">
        <v>29.898716</v>
      </c>
      <c r="J29" s="2" t="s">
        <v>45</v>
      </c>
      <c r="K29" s="2" t="s">
        <v>46</v>
      </c>
      <c r="L29" s="9">
        <v>2019</v>
      </c>
      <c r="M29" s="2" t="s">
        <v>76</v>
      </c>
      <c r="N29" s="2">
        <v>1</v>
      </c>
      <c r="O29" s="2">
        <v>0</v>
      </c>
      <c r="P29" s="2">
        <v>0</v>
      </c>
      <c r="Q29" s="2">
        <v>20</v>
      </c>
      <c r="R29" s="2">
        <v>57</v>
      </c>
      <c r="S29" s="2">
        <v>30</v>
      </c>
      <c r="T29" s="2">
        <v>829</v>
      </c>
      <c r="U29" s="11">
        <f t="shared" si="0"/>
      </c>
      <c r="W29" s="2">
        <v>1</v>
      </c>
      <c r="X29" s="2">
        <v>9.5</v>
      </c>
      <c r="Y29" s="2">
        <v>7</v>
      </c>
      <c r="Z29" s="2">
        <v>8.5</v>
      </c>
      <c r="AA29" s="2">
        <v>5</v>
      </c>
      <c r="AB29" s="2">
        <v>5</v>
      </c>
      <c r="AC29" s="2">
        <v>9.5</v>
      </c>
      <c r="AD29" s="2">
        <v>7</v>
      </c>
      <c r="AE29" s="2">
        <v>8.7</v>
      </c>
      <c r="AF29" s="2">
        <v>7.9</v>
      </c>
      <c r="AG29" s="2">
        <v>6</v>
      </c>
      <c r="AH29" s="2" t="s">
        <v>68</v>
      </c>
      <c r="AI29" s="2" t="s">
        <v>77</v>
      </c>
      <c r="AJ29" s="2" t="s">
        <v>50</v>
      </c>
      <c r="AK29" s="2" t="s">
        <v>51</v>
      </c>
      <c r="AL29" s="2" t="s">
        <v>52</v>
      </c>
      <c r="AM29" s="2" t="s">
        <v>206</v>
      </c>
    </row>
    <row customHeight="true" hidden="true" ht="63.7037037037037" r="30">
      <c r="A30" s="1" t="s">
        <v>207</v>
      </c>
      <c r="B30" s="4">
        <v>3.5</v>
      </c>
      <c r="C30" s="4" t="s">
        <v>208</v>
      </c>
      <c r="D30" s="4" t="s">
        <v>42</v>
      </c>
      <c r="E30" s="4" t="s">
        <v>193</v>
      </c>
      <c r="F30" s="3">
        <v>26318</v>
      </c>
      <c r="G30" s="4" t="s">
        <v>209</v>
      </c>
      <c r="H30" s="4">
        <v>121.584259</v>
      </c>
      <c r="I30" s="4">
        <v>29.848694</v>
      </c>
      <c r="J30" s="4" t="s">
        <v>45</v>
      </c>
      <c r="K30" s="4" t="s">
        <v>46</v>
      </c>
      <c r="L30" s="14">
        <v>46379</v>
      </c>
      <c r="M30" s="4" t="s">
        <v>210</v>
      </c>
      <c r="N30" s="4">
        <v>1</v>
      </c>
      <c r="O30" s="4">
        <v>0</v>
      </c>
      <c r="P30" s="4">
        <v>0</v>
      </c>
      <c r="Q30" s="4">
        <v>17</v>
      </c>
      <c r="R30" s="4">
        <v>22</v>
      </c>
      <c r="S30" s="4">
        <v>30</v>
      </c>
      <c r="T30" s="4">
        <v>502</v>
      </c>
      <c r="U30" s="8">
        <f t="shared" si="0"/>
      </c>
      <c r="W30" s="4">
        <v>1</v>
      </c>
      <c r="X30" s="4">
        <v>9.5</v>
      </c>
      <c r="Y30" s="4">
        <v>6</v>
      </c>
      <c r="Z30" s="4">
        <v>5</v>
      </c>
      <c r="AA30" s="4">
        <v>5</v>
      </c>
      <c r="AB30" s="4">
        <v>5</v>
      </c>
      <c r="AC30" s="4">
        <v>6</v>
      </c>
      <c r="AD30" s="4">
        <v>5</v>
      </c>
      <c r="AE30" s="4">
        <v>8.7</v>
      </c>
      <c r="AF30" s="4">
        <v>8.7</v>
      </c>
      <c r="AG30" s="4">
        <v>6</v>
      </c>
      <c r="AH30" s="10" t="s">
        <v>48</v>
      </c>
      <c r="AI30" s="10" t="s">
        <v>49</v>
      </c>
      <c r="AJ30" s="4" t="s">
        <v>50</v>
      </c>
      <c r="AK30" s="4" t="s">
        <v>51</v>
      </c>
      <c r="AL30" s="4" t="s">
        <v>104</v>
      </c>
      <c r="AM30" s="6"/>
    </row>
    <row customHeight="true" ht="63.7037037037037" r="31">
      <c r="A31" s="1" t="s">
        <v>203</v>
      </c>
      <c r="B31" s="15">
        <v>4</v>
      </c>
      <c r="C31" s="15" t="s">
        <v>211</v>
      </c>
      <c r="D31" s="3" t="s">
        <v>141</v>
      </c>
      <c r="E31" s="3" t="s">
        <v>142</v>
      </c>
      <c r="F31" s="3">
        <v>26277</v>
      </c>
      <c r="G31" s="3" t="s">
        <v>205</v>
      </c>
      <c r="H31" s="3">
        <v>121.637432</v>
      </c>
      <c r="I31" s="3">
        <v>29.898716</v>
      </c>
      <c r="J31" s="3" t="s">
        <v>45</v>
      </c>
      <c r="K31" s="3" t="s">
        <v>46</v>
      </c>
      <c r="L31" s="16">
        <v>2019</v>
      </c>
      <c r="M31" s="3" t="s">
        <v>76</v>
      </c>
      <c r="N31" s="3">
        <v>1</v>
      </c>
      <c r="O31" s="3">
        <v>0</v>
      </c>
      <c r="P31" s="3">
        <v>0</v>
      </c>
      <c r="Q31" s="3">
        <v>20</v>
      </c>
      <c r="R31" s="3">
        <v>57</v>
      </c>
      <c r="S31" s="3">
        <v>30</v>
      </c>
      <c r="T31" s="3">
        <v>829</v>
      </c>
      <c r="U31" s="17">
        <f t="shared" si="0"/>
      </c>
      <c r="V31" s="18"/>
      <c r="W31" s="3">
        <v>1</v>
      </c>
      <c r="X31" s="3">
        <v>9.5</v>
      </c>
      <c r="Y31" s="3">
        <v>7</v>
      </c>
      <c r="Z31" s="3">
        <v>8.5</v>
      </c>
      <c r="AA31" s="3">
        <v>5</v>
      </c>
      <c r="AB31" s="3">
        <v>5</v>
      </c>
      <c r="AC31" s="3">
        <v>9.5</v>
      </c>
      <c r="AD31" s="3">
        <v>7</v>
      </c>
      <c r="AE31" s="3">
        <v>8.7</v>
      </c>
      <c r="AF31" s="3">
        <v>7.9</v>
      </c>
      <c r="AG31" s="3">
        <v>6</v>
      </c>
      <c r="AH31" s="3" t="s">
        <v>68</v>
      </c>
      <c r="AI31" s="3" t="s">
        <v>77</v>
      </c>
      <c r="AJ31" s="3" t="s">
        <v>50</v>
      </c>
      <c r="AK31" s="3" t="s">
        <v>51</v>
      </c>
      <c r="AL31" s="3" t="s">
        <v>52</v>
      </c>
      <c r="AM31" s="3" t="s">
        <v>206</v>
      </c>
    </row>
    <row customHeight="true" hidden="true" ht="63.7037037037037" r="32">
      <c r="A32" s="1" t="s">
        <v>212</v>
      </c>
      <c r="B32" s="4">
        <v>3</v>
      </c>
      <c r="C32" s="2" t="s">
        <v>213</v>
      </c>
      <c r="D32" s="2" t="s">
        <v>42</v>
      </c>
      <c r="E32" s="2" t="s">
        <v>136</v>
      </c>
      <c r="F32" s="3">
        <v>27165</v>
      </c>
      <c r="G32" s="2" t="s">
        <v>214</v>
      </c>
      <c r="H32" s="2">
        <v>121.581845</v>
      </c>
      <c r="I32" s="2">
        <v>29.851526</v>
      </c>
      <c r="J32" s="2" t="s">
        <v>45</v>
      </c>
      <c r="K32" s="2" t="s">
        <v>46</v>
      </c>
      <c r="L32" s="2">
        <v>2022</v>
      </c>
      <c r="M32" s="2" t="s">
        <v>215</v>
      </c>
      <c r="N32" s="2">
        <v>1</v>
      </c>
      <c r="O32" s="2">
        <v>0</v>
      </c>
      <c r="P32" s="2">
        <v>0</v>
      </c>
      <c r="Q32" s="2">
        <v>18</v>
      </c>
      <c r="R32" s="2">
        <v>35</v>
      </c>
      <c r="S32" s="2">
        <v>30</v>
      </c>
      <c r="T32" s="2">
        <v>682</v>
      </c>
      <c r="U32" s="8">
        <f t="shared" si="0"/>
      </c>
      <c r="W32" s="2">
        <v>1</v>
      </c>
      <c r="X32" s="2">
        <v>9.5</v>
      </c>
      <c r="Y32" s="2">
        <v>6</v>
      </c>
      <c r="Z32" s="2">
        <v>8.5</v>
      </c>
      <c r="AA32" s="2">
        <v>5</v>
      </c>
      <c r="AB32" s="2">
        <v>5</v>
      </c>
      <c r="AC32" s="2">
        <v>9.1</v>
      </c>
      <c r="AD32" s="2">
        <v>9.5</v>
      </c>
      <c r="AE32" s="2">
        <v>9</v>
      </c>
      <c r="AF32" s="2">
        <v>8.6</v>
      </c>
      <c r="AG32" s="2">
        <v>6</v>
      </c>
      <c r="AH32" s="9" t="s">
        <v>48</v>
      </c>
      <c r="AI32" s="2" t="s">
        <v>77</v>
      </c>
      <c r="AJ32" s="2" t="s">
        <v>50</v>
      </c>
      <c r="AK32" s="2" t="s">
        <v>51</v>
      </c>
      <c r="AL32" s="2" t="s">
        <v>52</v>
      </c>
      <c r="AM32" s="2" t="s">
        <v>216</v>
      </c>
    </row>
    <row customHeight="true" hidden="true" ht="63.7037037037037" r="33">
      <c r="A33" s="1" t="s">
        <v>217</v>
      </c>
      <c r="B33" s="4">
        <v>3</v>
      </c>
      <c r="C33" s="2" t="s">
        <v>218</v>
      </c>
      <c r="D33" s="2" t="s">
        <v>42</v>
      </c>
      <c r="E33" s="2" t="s">
        <v>193</v>
      </c>
      <c r="F33" s="3">
        <v>27554</v>
      </c>
      <c r="G33" s="2" t="s">
        <v>219</v>
      </c>
      <c r="H33" s="2">
        <v>121.546512</v>
      </c>
      <c r="I33" s="2">
        <v>29.840428</v>
      </c>
      <c r="J33" s="2" t="s">
        <v>85</v>
      </c>
      <c r="K33" s="2" t="s">
        <v>46</v>
      </c>
      <c r="L33" s="2">
        <v>2021</v>
      </c>
      <c r="M33" s="2" t="s">
        <v>220</v>
      </c>
      <c r="N33" s="2">
        <v>1</v>
      </c>
      <c r="O33" s="2">
        <v>0</v>
      </c>
      <c r="P33" s="2">
        <v>0</v>
      </c>
      <c r="Q33" s="2">
        <v>19</v>
      </c>
      <c r="R33" s="2">
        <v>12</v>
      </c>
      <c r="S33" s="2">
        <v>30</v>
      </c>
      <c r="T33" s="2">
        <v>525</v>
      </c>
      <c r="U33" s="8">
        <f t="shared" si="0"/>
      </c>
      <c r="W33" s="2">
        <v>1</v>
      </c>
      <c r="X33" s="2">
        <v>9.5</v>
      </c>
      <c r="Y33" s="2">
        <v>7</v>
      </c>
      <c r="Z33" s="2">
        <v>9.5</v>
      </c>
      <c r="AA33" s="2">
        <v>5</v>
      </c>
      <c r="AB33" s="2">
        <v>5</v>
      </c>
      <c r="AC33" s="2">
        <v>8.8</v>
      </c>
      <c r="AD33" s="2">
        <v>6.5</v>
      </c>
      <c r="AE33" s="2">
        <v>8.3</v>
      </c>
      <c r="AF33" s="2">
        <v>8.5</v>
      </c>
      <c r="AG33" s="2">
        <v>6</v>
      </c>
      <c r="AH33" s="2" t="s">
        <v>68</v>
      </c>
      <c r="AI33" s="2" t="s">
        <v>60</v>
      </c>
      <c r="AJ33" s="2" t="s">
        <v>50</v>
      </c>
      <c r="AK33" s="2" t="s">
        <v>51</v>
      </c>
      <c r="AL33" s="2" t="s">
        <v>52</v>
      </c>
      <c r="AM33" s="10" t="s">
        <v>71</v>
      </c>
    </row>
    <row customHeight="true" ht="63.7037037037037" r="34">
      <c r="A34" s="1" t="s">
        <v>221</v>
      </c>
      <c r="B34" s="4">
        <v>4</v>
      </c>
      <c r="C34" s="2" t="s">
        <v>222</v>
      </c>
      <c r="D34" s="2" t="s">
        <v>42</v>
      </c>
      <c r="E34" s="2" t="s">
        <v>74</v>
      </c>
      <c r="F34" s="3">
        <v>27681</v>
      </c>
      <c r="G34" s="2" t="s">
        <v>223</v>
      </c>
      <c r="H34" s="2">
        <v>121.636293</v>
      </c>
      <c r="I34" s="2">
        <v>29.856589</v>
      </c>
      <c r="J34" s="2" t="s">
        <v>45</v>
      </c>
      <c r="K34" s="2" t="s">
        <v>46</v>
      </c>
      <c r="L34" s="9">
        <v>2018</v>
      </c>
      <c r="M34" s="2" t="s">
        <v>224</v>
      </c>
      <c r="N34" s="2">
        <v>1</v>
      </c>
      <c r="O34" s="2">
        <v>0</v>
      </c>
      <c r="P34" s="2">
        <v>1</v>
      </c>
      <c r="Q34" s="2">
        <v>15</v>
      </c>
      <c r="R34" s="2">
        <v>27</v>
      </c>
      <c r="S34" s="2">
        <v>30.3</v>
      </c>
      <c r="T34" s="2">
        <v>723</v>
      </c>
      <c r="U34" s="8">
        <f t="shared" si="0"/>
      </c>
      <c r="W34" s="2">
        <v>1</v>
      </c>
      <c r="X34" s="2">
        <v>9.5</v>
      </c>
      <c r="Y34" s="2">
        <v>7</v>
      </c>
      <c r="Z34" s="2">
        <v>9</v>
      </c>
      <c r="AA34" s="2">
        <v>5</v>
      </c>
      <c r="AB34" s="2">
        <v>5</v>
      </c>
      <c r="AC34" s="2">
        <v>8.8</v>
      </c>
      <c r="AD34" s="2">
        <v>7</v>
      </c>
      <c r="AE34" s="2">
        <v>8.5</v>
      </c>
      <c r="AF34" s="2">
        <v>8</v>
      </c>
      <c r="AG34" s="2">
        <v>6</v>
      </c>
      <c r="AH34" s="2" t="s">
        <v>68</v>
      </c>
      <c r="AI34" s="2" t="s">
        <v>60</v>
      </c>
      <c r="AJ34" s="2" t="s">
        <v>50</v>
      </c>
      <c r="AK34" s="2" t="s">
        <v>51</v>
      </c>
      <c r="AL34" s="2" t="s">
        <v>52</v>
      </c>
      <c r="AM34" s="2" t="s">
        <v>225</v>
      </c>
    </row>
    <row customHeight="true" hidden="true" ht="63.7037037037037" r="35">
      <c r="A35" s="1" t="s">
        <v>217</v>
      </c>
      <c r="B35" s="4">
        <v>3</v>
      </c>
      <c r="C35" s="2" t="s">
        <v>226</v>
      </c>
      <c r="D35" s="2" t="s">
        <v>42</v>
      </c>
      <c r="E35" s="2" t="s">
        <v>193</v>
      </c>
      <c r="F35" s="3">
        <v>28238</v>
      </c>
      <c r="G35" s="2" t="s">
        <v>227</v>
      </c>
      <c r="H35" s="2">
        <v>121.544498</v>
      </c>
      <c r="I35" s="2">
        <v>29.848515</v>
      </c>
      <c r="J35" s="2" t="s">
        <v>45</v>
      </c>
      <c r="K35" s="2" t="s">
        <v>46</v>
      </c>
      <c r="L35" s="2">
        <v>2021</v>
      </c>
      <c r="M35" s="2" t="s">
        <v>228</v>
      </c>
      <c r="N35" s="2">
        <v>0</v>
      </c>
      <c r="O35" s="2">
        <v>0</v>
      </c>
      <c r="P35" s="2">
        <v>0</v>
      </c>
      <c r="Q35" s="2">
        <v>30</v>
      </c>
      <c r="R35" s="2">
        <v>6</v>
      </c>
      <c r="S35" s="2">
        <v>30</v>
      </c>
      <c r="T35" s="2">
        <v>183</v>
      </c>
      <c r="U35" s="11">
        <f t="shared" si="0"/>
      </c>
      <c r="W35" s="2">
        <v>1</v>
      </c>
      <c r="X35" s="2">
        <v>9.5</v>
      </c>
      <c r="Y35" s="2">
        <v>6</v>
      </c>
      <c r="Z35" s="2">
        <v>8.5</v>
      </c>
      <c r="AA35" s="2">
        <v>7</v>
      </c>
      <c r="AB35" s="2">
        <v>5</v>
      </c>
      <c r="AC35" s="2">
        <v>9.7</v>
      </c>
      <c r="AD35" s="2">
        <v>5</v>
      </c>
      <c r="AE35" s="2">
        <v>7.9</v>
      </c>
      <c r="AF35" s="2">
        <v>8.4</v>
      </c>
      <c r="AG35" s="2">
        <v>6</v>
      </c>
      <c r="AH35" s="9" t="s">
        <v>48</v>
      </c>
      <c r="AI35" s="2" t="s">
        <v>77</v>
      </c>
      <c r="AJ35" s="2" t="s">
        <v>69</v>
      </c>
      <c r="AK35" s="2" t="s">
        <v>51</v>
      </c>
      <c r="AL35" s="2" t="s">
        <v>52</v>
      </c>
      <c r="AM35" s="9" t="s">
        <v>71</v>
      </c>
    </row>
    <row customHeight="true" hidden="true" ht="63.7037037037037" r="36">
      <c r="A36" s="1" t="s">
        <v>229</v>
      </c>
      <c r="B36" s="4">
        <v>3.5</v>
      </c>
      <c r="C36" s="2" t="s">
        <v>230</v>
      </c>
      <c r="D36" s="2" t="s">
        <v>141</v>
      </c>
      <c r="E36" s="2" t="s">
        <v>158</v>
      </c>
      <c r="F36" s="3">
        <v>28488</v>
      </c>
      <c r="G36" s="2" t="s">
        <v>231</v>
      </c>
      <c r="H36" s="2">
        <v>121.605603</v>
      </c>
      <c r="I36" s="2">
        <v>29.888718</v>
      </c>
      <c r="J36" s="2" t="s">
        <v>45</v>
      </c>
      <c r="K36" s="2" t="s">
        <v>46</v>
      </c>
      <c r="L36" s="9">
        <v>2018</v>
      </c>
      <c r="M36" s="2" t="s">
        <v>232</v>
      </c>
      <c r="N36" s="2">
        <v>1</v>
      </c>
      <c r="O36" s="2">
        <v>0</v>
      </c>
      <c r="P36" s="2">
        <v>1</v>
      </c>
      <c r="Q36" s="2">
        <v>5</v>
      </c>
      <c r="R36" s="2">
        <v>8</v>
      </c>
      <c r="S36" s="2">
        <v>30</v>
      </c>
      <c r="T36" s="2">
        <v>399</v>
      </c>
      <c r="U36" s="8">
        <f t="shared" si="0"/>
      </c>
      <c r="W36" s="2">
        <v>1</v>
      </c>
      <c r="X36" s="2">
        <v>9.5</v>
      </c>
      <c r="Y36" s="2">
        <v>7</v>
      </c>
      <c r="Z36" s="2">
        <v>9.5</v>
      </c>
      <c r="AA36" s="2">
        <v>6</v>
      </c>
      <c r="AB36" s="2">
        <v>5</v>
      </c>
      <c r="AC36" s="2">
        <v>8</v>
      </c>
      <c r="AD36" s="2">
        <v>7</v>
      </c>
      <c r="AE36" s="2">
        <v>9.6</v>
      </c>
      <c r="AF36" s="2">
        <v>8.3</v>
      </c>
      <c r="AG36" s="2">
        <v>6</v>
      </c>
      <c r="AH36" s="2" t="s">
        <v>68</v>
      </c>
      <c r="AI36" s="2" t="s">
        <v>60</v>
      </c>
      <c r="AJ36" s="2" t="s">
        <v>161</v>
      </c>
      <c r="AK36" s="2" t="s">
        <v>51</v>
      </c>
      <c r="AL36" s="2" t="s">
        <v>61</v>
      </c>
      <c r="AM36" s="2" t="s">
        <v>233</v>
      </c>
    </row>
    <row customHeight="true" ht="63.7037037037037" r="37">
      <c r="A37" s="1" t="s">
        <v>234</v>
      </c>
      <c r="B37" s="4">
        <v>4</v>
      </c>
      <c r="C37" s="2" t="s">
        <v>235</v>
      </c>
      <c r="D37" s="2" t="s">
        <v>42</v>
      </c>
      <c r="E37" s="2" t="s">
        <v>43</v>
      </c>
      <c r="F37" s="3">
        <v>28843</v>
      </c>
      <c r="G37" s="2" t="s">
        <v>236</v>
      </c>
      <c r="H37" s="2">
        <v>121.647469</v>
      </c>
      <c r="I37" s="2">
        <v>29.870759</v>
      </c>
      <c r="J37" s="2" t="s">
        <v>45</v>
      </c>
      <c r="K37" s="2" t="s">
        <v>46</v>
      </c>
      <c r="L37" s="2">
        <v>2021</v>
      </c>
      <c r="M37" s="2" t="s">
        <v>47</v>
      </c>
      <c r="N37" s="2">
        <v>1</v>
      </c>
      <c r="O37" s="2">
        <v>0</v>
      </c>
      <c r="P37" s="2">
        <v>0</v>
      </c>
      <c r="Q37" s="2">
        <v>13</v>
      </c>
      <c r="R37" s="2">
        <v>20</v>
      </c>
      <c r="T37" s="2">
        <v>632</v>
      </c>
      <c r="U37" s="8">
        <f t="shared" si="0"/>
      </c>
      <c r="W37" s="2">
        <v>1</v>
      </c>
      <c r="X37" s="2">
        <v>9.5</v>
      </c>
      <c r="Y37" s="2">
        <v>5</v>
      </c>
      <c r="Z37" s="2">
        <v>5</v>
      </c>
      <c r="AA37" s="2">
        <v>5</v>
      </c>
      <c r="AB37" s="2">
        <v>5</v>
      </c>
      <c r="AC37" s="2">
        <v>6</v>
      </c>
      <c r="AD37" s="2">
        <v>5</v>
      </c>
      <c r="AE37" s="2">
        <v>8.3</v>
      </c>
      <c r="AF37" s="2">
        <v>7.5</v>
      </c>
      <c r="AG37" s="2">
        <v>6</v>
      </c>
      <c r="AH37" s="9" t="s">
        <v>48</v>
      </c>
      <c r="AI37" s="9" t="s">
        <v>49</v>
      </c>
      <c r="AJ37" s="2" t="s">
        <v>50</v>
      </c>
      <c r="AK37" s="2" t="s">
        <v>51</v>
      </c>
      <c r="AL37" s="2" t="s">
        <v>104</v>
      </c>
      <c r="AM37" s="9" t="s">
        <v>71</v>
      </c>
    </row>
    <row customHeight="true" hidden="true" ht="63.7037037037037" r="38">
      <c r="A38" s="1" t="s">
        <v>237</v>
      </c>
      <c r="B38" s="4">
        <v>3.5</v>
      </c>
      <c r="C38" s="2" t="s">
        <v>238</v>
      </c>
      <c r="D38" s="2" t="s">
        <v>42</v>
      </c>
      <c r="E38" s="2" t="s">
        <v>239</v>
      </c>
      <c r="F38" s="3">
        <v>28918</v>
      </c>
      <c r="G38" s="2" t="s">
        <v>240</v>
      </c>
      <c r="H38" s="2">
        <v>121.594733</v>
      </c>
      <c r="I38" s="2">
        <v>29.87361</v>
      </c>
      <c r="J38" s="2" t="s">
        <v>45</v>
      </c>
      <c r="K38" s="2" t="s">
        <v>46</v>
      </c>
      <c r="L38" s="2">
        <v>2021</v>
      </c>
      <c r="M38" s="2" t="s">
        <v>215</v>
      </c>
      <c r="N38" s="2">
        <v>1</v>
      </c>
      <c r="O38" s="2">
        <v>0</v>
      </c>
      <c r="P38" s="2">
        <v>0</v>
      </c>
      <c r="Q38" s="2">
        <v>4</v>
      </c>
      <c r="R38" s="2">
        <v>5</v>
      </c>
      <c r="S38" s="2">
        <v>30</v>
      </c>
      <c r="T38" s="2">
        <v>166</v>
      </c>
      <c r="U38" s="8">
        <f t="shared" si="0"/>
      </c>
      <c r="W38" s="2">
        <v>1</v>
      </c>
      <c r="X38" s="2">
        <v>9.5</v>
      </c>
      <c r="Y38" s="2">
        <v>7</v>
      </c>
      <c r="Z38" s="2">
        <v>9.5</v>
      </c>
      <c r="AA38" s="2">
        <v>5</v>
      </c>
      <c r="AB38" s="2">
        <v>5</v>
      </c>
      <c r="AC38" s="2">
        <v>10</v>
      </c>
      <c r="AD38" s="2">
        <v>8.5</v>
      </c>
      <c r="AE38" s="2">
        <v>9.5</v>
      </c>
      <c r="AF38" s="2">
        <v>9.2</v>
      </c>
      <c r="AG38" s="2">
        <v>6</v>
      </c>
      <c r="AH38" s="2" t="s">
        <v>68</v>
      </c>
      <c r="AI38" s="2" t="s">
        <v>60</v>
      </c>
      <c r="AJ38" s="2" t="s">
        <v>50</v>
      </c>
      <c r="AK38" s="2" t="s">
        <v>51</v>
      </c>
      <c r="AL38" s="2" t="s">
        <v>52</v>
      </c>
      <c r="AM38" s="2" t="s">
        <v>241</v>
      </c>
    </row>
    <row customHeight="true" hidden="true" ht="63.7037037037037" r="39">
      <c r="A39" s="1"/>
      <c r="B39" s="4"/>
      <c r="C39" s="2" t="s">
        <v>242</v>
      </c>
      <c r="D39" s="2" t="s">
        <v>82</v>
      </c>
      <c r="E39" s="2" t="s">
        <v>128</v>
      </c>
      <c r="F39" s="3">
        <v>29121</v>
      </c>
      <c r="G39" s="2" t="s">
        <v>243</v>
      </c>
      <c r="H39" s="2">
        <v>121.621868</v>
      </c>
      <c r="I39" s="2">
        <v>29.937291</v>
      </c>
      <c r="J39" s="2" t="s">
        <v>45</v>
      </c>
      <c r="K39" s="2" t="s">
        <v>46</v>
      </c>
      <c r="L39" s="9">
        <v>2018</v>
      </c>
      <c r="M39" s="2" t="s">
        <v>160</v>
      </c>
      <c r="N39" s="2">
        <v>1</v>
      </c>
      <c r="O39" s="2">
        <v>0</v>
      </c>
      <c r="P39" s="2">
        <v>0</v>
      </c>
      <c r="Q39" s="2">
        <v>4</v>
      </c>
      <c r="R39" s="2">
        <v>10</v>
      </c>
      <c r="S39" s="2">
        <v>30</v>
      </c>
      <c r="T39" s="2">
        <v>153</v>
      </c>
      <c r="U39" s="11">
        <f t="shared" si="0"/>
      </c>
      <c r="W39" s="2">
        <v>1</v>
      </c>
      <c r="X39" s="2">
        <v>9.5</v>
      </c>
      <c r="Y39" s="2">
        <v>6</v>
      </c>
      <c r="Z39" s="2">
        <v>9.5</v>
      </c>
      <c r="AA39" s="2">
        <v>5</v>
      </c>
      <c r="AB39" s="2">
        <v>5</v>
      </c>
      <c r="AC39" s="2">
        <v>9.3</v>
      </c>
      <c r="AD39" s="2">
        <v>6.5</v>
      </c>
      <c r="AE39" s="2">
        <v>8.3</v>
      </c>
      <c r="AF39" s="2">
        <v>7.9</v>
      </c>
      <c r="AG39" s="2">
        <v>6</v>
      </c>
      <c r="AH39" s="9" t="s">
        <v>48</v>
      </c>
      <c r="AI39" s="2" t="s">
        <v>60</v>
      </c>
      <c r="AJ39" s="2" t="s">
        <v>50</v>
      </c>
      <c r="AK39" s="2" t="s">
        <v>51</v>
      </c>
      <c r="AL39" s="2" t="s">
        <v>52</v>
      </c>
      <c r="AM39" s="2" t="s">
        <v>244</v>
      </c>
    </row>
    <row customHeight="true" hidden="true" ht="63.7037037037037" r="40">
      <c r="A40" s="1" t="s">
        <v>245</v>
      </c>
      <c r="B40" s="4">
        <v>3</v>
      </c>
      <c r="C40" s="2" t="s">
        <v>246</v>
      </c>
      <c r="D40" s="2" t="s">
        <v>42</v>
      </c>
      <c r="E40" s="2" t="s">
        <v>193</v>
      </c>
      <c r="F40" s="3">
        <v>29777</v>
      </c>
      <c r="G40" s="2" t="s">
        <v>247</v>
      </c>
      <c r="H40" s="2">
        <v>121.567328</v>
      </c>
      <c r="I40" s="2">
        <v>29.858486</v>
      </c>
      <c r="J40" s="2" t="s">
        <v>45</v>
      </c>
      <c r="K40" s="2" t="s">
        <v>46</v>
      </c>
      <c r="L40" s="2">
        <v>2022</v>
      </c>
      <c r="M40" s="2" t="s">
        <v>248</v>
      </c>
      <c r="N40" s="2">
        <v>1</v>
      </c>
      <c r="O40" s="2">
        <v>0</v>
      </c>
      <c r="P40" s="2">
        <v>0</v>
      </c>
      <c r="Q40" s="2">
        <v>6</v>
      </c>
      <c r="R40" s="2">
        <v>43</v>
      </c>
      <c r="S40" s="2">
        <v>30</v>
      </c>
      <c r="T40" s="2">
        <v>250</v>
      </c>
      <c r="U40" s="11">
        <f t="shared" si="0"/>
      </c>
      <c r="W40" s="2">
        <v>1</v>
      </c>
      <c r="X40" s="2">
        <v>9.5</v>
      </c>
      <c r="Y40" s="2">
        <v>6</v>
      </c>
      <c r="Z40" s="2">
        <v>9.5</v>
      </c>
      <c r="AA40" s="2">
        <v>7</v>
      </c>
      <c r="AB40" s="2">
        <v>5</v>
      </c>
      <c r="AC40" s="2">
        <v>4</v>
      </c>
      <c r="AD40" s="2">
        <v>8.5</v>
      </c>
      <c r="AE40" s="2">
        <v>8.9</v>
      </c>
      <c r="AF40" s="2">
        <v>9.1</v>
      </c>
      <c r="AG40" s="2">
        <v>6</v>
      </c>
      <c r="AH40" s="9" t="s">
        <v>48</v>
      </c>
      <c r="AI40" s="2" t="s">
        <v>60</v>
      </c>
      <c r="AJ40" s="2" t="s">
        <v>69</v>
      </c>
      <c r="AK40" s="2" t="s">
        <v>51</v>
      </c>
      <c r="AL40" s="9" t="s">
        <v>249</v>
      </c>
      <c r="AM40" s="2" t="s">
        <v>250</v>
      </c>
    </row>
    <row customHeight="true" ht="63.7037037037037" r="41">
      <c r="A41" s="1" t="s">
        <v>251</v>
      </c>
      <c r="B41" s="4">
        <v>4</v>
      </c>
      <c r="C41" s="2" t="s">
        <v>252</v>
      </c>
      <c r="D41" s="2" t="s">
        <v>42</v>
      </c>
      <c r="E41" s="2" t="s">
        <v>43</v>
      </c>
      <c r="F41" s="3">
        <v>29935</v>
      </c>
      <c r="G41" s="2" t="s">
        <v>253</v>
      </c>
      <c r="H41" s="2">
        <v>121.616035</v>
      </c>
      <c r="I41" s="2">
        <v>29.84292</v>
      </c>
      <c r="J41" s="2" t="s">
        <v>130</v>
      </c>
      <c r="K41" s="2" t="s">
        <v>46</v>
      </c>
      <c r="L41" s="7">
        <v>46165</v>
      </c>
      <c r="M41" s="2" t="s">
        <v>254</v>
      </c>
      <c r="N41" s="2">
        <v>1</v>
      </c>
      <c r="O41" s="2">
        <v>0</v>
      </c>
      <c r="P41" s="2">
        <v>0</v>
      </c>
      <c r="Q41" s="2">
        <v>54</v>
      </c>
      <c r="R41" s="2">
        <v>36</v>
      </c>
      <c r="S41" s="2">
        <v>30</v>
      </c>
      <c r="T41" s="2">
        <v>1347</v>
      </c>
      <c r="U41" s="8">
        <f t="shared" si="0"/>
      </c>
      <c r="W41" s="2">
        <v>1</v>
      </c>
      <c r="X41" s="2">
        <v>9.5</v>
      </c>
      <c r="Y41" s="2">
        <v>7.5</v>
      </c>
      <c r="Z41" s="2">
        <v>8</v>
      </c>
      <c r="AA41" s="2">
        <v>5</v>
      </c>
      <c r="AB41" s="2">
        <v>5</v>
      </c>
      <c r="AC41" s="2">
        <v>8.9</v>
      </c>
      <c r="AD41" s="2">
        <v>9</v>
      </c>
      <c r="AE41" s="2">
        <v>8.4</v>
      </c>
      <c r="AF41" s="2">
        <v>7.8</v>
      </c>
      <c r="AG41" s="2">
        <v>6</v>
      </c>
      <c r="AH41" s="2" t="s">
        <v>68</v>
      </c>
      <c r="AI41" s="2" t="s">
        <v>77</v>
      </c>
      <c r="AJ41" s="2" t="s">
        <v>50</v>
      </c>
      <c r="AK41" s="2" t="s">
        <v>51</v>
      </c>
      <c r="AL41" s="2" t="s">
        <v>52</v>
      </c>
      <c r="AM41" s="2" t="s">
        <v>255</v>
      </c>
    </row>
  </sheetData>
  <autoFilter ref="A1:AM41">
    <filterColumn colId="1">
      <filters>
        <filter val="4"/>
        <filter val="4.5"/>
      </filters>
    </filterColumn>
  </autoFilter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